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b182843c0d593e3/桌面/"/>
    </mc:Choice>
  </mc:AlternateContent>
  <xr:revisionPtr revIDLastSave="0" documentId="8_{07935CD4-2302-461F-A4CA-73335BDA5490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Summary" sheetId="1" r:id="rId1"/>
    <sheet name="Requirements" sheetId="2" r:id="rId2"/>
    <sheet name="Building A" sheetId="3" r:id="rId3"/>
    <sheet name="Building B" sheetId="4" r:id="rId4"/>
    <sheet name="Take-off Summary" sheetId="5" r:id="rId5"/>
    <sheet name="Maintenance" sheetId="6" r:id="rId6"/>
    <sheet name="Reference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5" l="1"/>
  <c r="F5" i="5"/>
  <c r="G4" i="5"/>
  <c r="G6" i="5" s="1"/>
  <c r="F4" i="5"/>
  <c r="F6" i="5" s="1"/>
  <c r="L19" i="4"/>
  <c r="K19" i="4"/>
  <c r="J19" i="4"/>
  <c r="I19" i="4"/>
  <c r="H19" i="4"/>
  <c r="G19" i="4"/>
  <c r="F19" i="4"/>
  <c r="P17" i="4"/>
  <c r="Q17" i="4" s="1"/>
  <c r="N17" i="4"/>
  <c r="O17" i="4" s="1"/>
  <c r="P16" i="4"/>
  <c r="Q16" i="4" s="1"/>
  <c r="O16" i="4"/>
  <c r="N16" i="4"/>
  <c r="P15" i="4"/>
  <c r="Q15" i="4" s="1"/>
  <c r="O15" i="4"/>
  <c r="N15" i="4"/>
  <c r="P14" i="4"/>
  <c r="Q14" i="4" s="1"/>
  <c r="N14" i="4"/>
  <c r="O14" i="4" s="1"/>
  <c r="P13" i="4"/>
  <c r="Q13" i="4" s="1"/>
  <c r="N13" i="4"/>
  <c r="O13" i="4" s="1"/>
  <c r="P12" i="4"/>
  <c r="Q12" i="4" s="1"/>
  <c r="N12" i="4"/>
  <c r="O12" i="4" s="1"/>
  <c r="P11" i="4"/>
  <c r="Q11" i="4" s="1"/>
  <c r="O11" i="4"/>
  <c r="N11" i="4"/>
  <c r="P10" i="4"/>
  <c r="P19" i="4" s="1"/>
  <c r="D5" i="5" s="1"/>
  <c r="O10" i="4"/>
  <c r="N10" i="4"/>
  <c r="P9" i="4"/>
  <c r="Q9" i="4" s="1"/>
  <c r="N9" i="4"/>
  <c r="O9" i="4" s="1"/>
  <c r="P8" i="4"/>
  <c r="Q8" i="4" s="1"/>
  <c r="N8" i="4"/>
  <c r="O8" i="4" s="1"/>
  <c r="P7" i="4"/>
  <c r="Q7" i="4" s="1"/>
  <c r="N7" i="4"/>
  <c r="O7" i="4" s="1"/>
  <c r="P6" i="4"/>
  <c r="Q6" i="4" s="1"/>
  <c r="N6" i="4"/>
  <c r="O6" i="4" s="1"/>
  <c r="P5" i="4"/>
  <c r="Q5" i="4" s="1"/>
  <c r="O5" i="4"/>
  <c r="N5" i="4"/>
  <c r="N19" i="4" s="1"/>
  <c r="B5" i="5" s="1"/>
  <c r="L19" i="3"/>
  <c r="K19" i="3"/>
  <c r="J19" i="3"/>
  <c r="I19" i="3"/>
  <c r="H19" i="3"/>
  <c r="G19" i="3"/>
  <c r="F19" i="3"/>
  <c r="P17" i="3"/>
  <c r="Q17" i="3" s="1"/>
  <c r="N17" i="3"/>
  <c r="O17" i="3" s="1"/>
  <c r="P16" i="3"/>
  <c r="Q16" i="3" s="1"/>
  <c r="N16" i="3"/>
  <c r="O16" i="3" s="1"/>
  <c r="P15" i="3"/>
  <c r="Q15" i="3" s="1"/>
  <c r="N15" i="3"/>
  <c r="O15" i="3" s="1"/>
  <c r="P14" i="3"/>
  <c r="Q14" i="3" s="1"/>
  <c r="N14" i="3"/>
  <c r="O14" i="3" s="1"/>
  <c r="Q13" i="3"/>
  <c r="P13" i="3"/>
  <c r="N13" i="3"/>
  <c r="O13" i="3" s="1"/>
  <c r="P12" i="3"/>
  <c r="Q12" i="3" s="1"/>
  <c r="N12" i="3"/>
  <c r="O12" i="3" s="1"/>
  <c r="P11" i="3"/>
  <c r="Q11" i="3" s="1"/>
  <c r="N11" i="3"/>
  <c r="O11" i="3" s="1"/>
  <c r="P10" i="3"/>
  <c r="Q10" i="3" s="1"/>
  <c r="N10" i="3"/>
  <c r="O10" i="3" s="1"/>
  <c r="P9" i="3"/>
  <c r="Q9" i="3" s="1"/>
  <c r="N9" i="3"/>
  <c r="O9" i="3" s="1"/>
  <c r="Q8" i="3"/>
  <c r="P8" i="3"/>
  <c r="N8" i="3"/>
  <c r="O8" i="3" s="1"/>
  <c r="P7" i="3"/>
  <c r="Q7" i="3" s="1"/>
  <c r="N7" i="3"/>
  <c r="O7" i="3" s="1"/>
  <c r="P6" i="3"/>
  <c r="P19" i="3" s="1"/>
  <c r="D4" i="5" s="1"/>
  <c r="D6" i="5" s="1"/>
  <c r="N6" i="3"/>
  <c r="N19" i="3" s="1"/>
  <c r="B4" i="5" s="1"/>
  <c r="P5" i="3"/>
  <c r="Q5" i="3" s="1"/>
  <c r="N5" i="3"/>
  <c r="O5" i="3" s="1"/>
  <c r="O19" i="4" l="1"/>
  <c r="C5" i="5" s="1"/>
  <c r="B6" i="5"/>
  <c r="Q6" i="3"/>
  <c r="Q19" i="3" s="1"/>
  <c r="E4" i="5" s="1"/>
  <c r="Q10" i="4"/>
  <c r="Q19" i="4" s="1"/>
  <c r="E5" i="5" s="1"/>
  <c r="O6" i="3"/>
  <c r="O19" i="3" s="1"/>
  <c r="C4" i="5" s="1"/>
  <c r="C6" i="5" s="1"/>
  <c r="E6" i="5" l="1"/>
</calcChain>
</file>

<file path=xl/sharedStrings.xml><?xml version="1.0" encoding="utf-8"?>
<sst xmlns="http://schemas.openxmlformats.org/spreadsheetml/2006/main" count="534" uniqueCount="297">
  <si>
    <t>Emergency Lighting Requirement &amp; Room-by-Room Take-off – Building A and B</t>
  </si>
  <si>
    <t>Prepared 2026-05-19 | Based on AS/NZS 2293 series and NZBC F6/F8 references.</t>
  </si>
  <si>
    <t>Important limitation</t>
  </si>
  <si>
    <t>I do not have the actual floor plans / confirmed room list in this chat. So the Building A/B tabs are a detailed editable take-off template with example room numbers. Replace the room numbers/area data with the real plan room numbers and the formulas will update counts.</t>
  </si>
  <si>
    <t>Main design standard</t>
  </si>
  <si>
    <t>AS/NZS 2293.1:2018 + Amendment 1:2021 — system design, installation and operation</t>
  </si>
  <si>
    <t>Luminaire product standard</t>
  </si>
  <si>
    <t>AS/NZS 2293.3:2018 + Amendment 1:2021 — emergency luminaires and exit signs</t>
  </si>
  <si>
    <t>Maintenance standard</t>
  </si>
  <si>
    <t>AS/NZS 2293.2:2019 — routine service and maintenance</t>
  </si>
  <si>
    <t>Emergency duration</t>
  </si>
  <si>
    <t>In-service emergency operation: 90 min unless NZBC/building regulation specifies otherwise. Initial commissioning test: 1.33 × required duration.</t>
  </si>
  <si>
    <t>Design illuminance</t>
  </si>
  <si>
    <t>General designated areas are checked using AS/NZS 2293.1 spacing/calc method; stairways require 1 lx on landings and treads.</t>
  </si>
  <si>
    <t>Maximum area per fitting</t>
  </si>
  <si>
    <t>A single emergency luminaire shall not serve more than 500 m².</t>
  </si>
  <si>
    <t>Exit signs</t>
  </si>
  <si>
    <t>Required locations are determined by NZBC F8/AS1; signs must conform to AS/NZS 2293.3 and be visible for the designed viewing distance.</t>
  </si>
  <si>
    <t>How to use</t>
  </si>
  <si>
    <t>Enter real room/area numbers, area, number of exit-sign doorways, corridor intersections, direction changes, level changes, and stair points. Use 'Proposed' columns for your actual design.</t>
  </si>
  <si>
    <t>Workbook sheets</t>
  </si>
  <si>
    <t>Purpose</t>
  </si>
  <si>
    <t>Requirements</t>
  </si>
  <si>
    <t>Detailed rule/checklist from AS/NZS 2293.1, 2293.2 and 2293.3.</t>
  </si>
  <si>
    <t>Building A</t>
  </si>
  <si>
    <t>Room-by-room/area-by-area take-off worksheet for Building A.</t>
  </si>
  <si>
    <t>Building B</t>
  </si>
  <si>
    <t>Room-by-room/area-by-area take-off worksheet for Building B.</t>
  </si>
  <si>
    <t>Take-off Summary</t>
  </si>
  <si>
    <t>Auto-summarises total required/proposed emergency lights and exit signs.</t>
  </si>
  <si>
    <t>Maintenance</t>
  </si>
  <si>
    <t>Service and maintenance checklist.</t>
  </si>
  <si>
    <t>References</t>
  </si>
  <si>
    <t>Source standards and clauses used.</t>
  </si>
  <si>
    <t>Emergency lighting and exit sign requirements checklist</t>
  </si>
  <si>
    <t>Item</t>
  </si>
  <si>
    <t>Requirement / rule</t>
  </si>
  <si>
    <t>Design implication</t>
  </si>
  <si>
    <t>Required value / action</t>
  </si>
  <si>
    <t>Applies to</t>
  </si>
  <si>
    <t>Standard reference</t>
  </si>
  <si>
    <t>Check status</t>
  </si>
  <si>
    <t>Emergency luminaires shall be installed throughout the designated area.</t>
  </si>
  <si>
    <t>All escape routes/designated spaces in Building A and B need emergency coverage.</t>
  </si>
  <si>
    <t>Provide emergency luminaires in every designated escape area.</t>
  </si>
  <si>
    <t>Both</t>
  </si>
  <si>
    <t>AS/NZS 2293.1:2018 Cl 4.3</t>
  </si>
  <si>
    <t>To check</t>
  </si>
  <si>
    <t>One emergency luminaire must not serve an area larger than 500 m².</t>
  </si>
  <si>
    <t>Large open areas need more than one fitting even before spacing/calculation checks.</t>
  </si>
  <si>
    <t>Minimum area allowance = CEILING(area/500).</t>
  </si>
  <si>
    <t>Emergency luminaire required within 2 m on the approach side of each doorway requiring an exit sign.</t>
  </si>
  <si>
    <t>Count exit-sign doors; each normally triggers a nearby emergency luminaire unless a compliant dual-function sign covers it.</t>
  </si>
  <si>
    <t>Within 2 m of approach side.</t>
  </si>
  <si>
    <t>AS/NZS 2293.1:2018 Cl 4.5</t>
  </si>
  <si>
    <t>Emergency luminaire required within 2 m of corridor intersections.</t>
  </si>
  <si>
    <t>Count T/intersection points in corridors.</t>
  </si>
  <si>
    <t>Within 2 m of centre-line intersection.</t>
  </si>
  <si>
    <t>AS/NZS 2293.1:2018 Cl 4.5(a)</t>
  </si>
  <si>
    <t>Emergency luminaire required within 2 m of changes in direction, unless the straight-line/spacing exception applies.</t>
  </si>
  <si>
    <t>Count corridor bends/turns; designer may justify omission only if exception is satisfied.</t>
  </si>
  <si>
    <t>Within 2 m of direction change.</t>
  </si>
  <si>
    <t>AS/NZS 2293.1:2018 Cl 4.5(b)</t>
  </si>
  <si>
    <t>Emergency luminaire required within 2 m of any change of floor level, on the low side.</t>
  </si>
  <si>
    <t>Count ramps, steps, level transitions.</t>
  </si>
  <si>
    <t>Within 2 m on low side.</t>
  </si>
  <si>
    <t>AS/NZS 2293.1:2018 Cl 4.5(c)</t>
  </si>
  <si>
    <t>Stairways require emergency luminaires installed in accordance with stairway rules.</t>
  </si>
  <si>
    <t>Do a dedicated stair calculation using 1 lx tables/calculation; do not rely on normal corridor spacing only.</t>
  </si>
  <si>
    <t>1 lx on each landing and tread surface.</t>
  </si>
  <si>
    <t>Stairs</t>
  </si>
  <si>
    <t>AS/NZS 2293.1:2018 Cl 4.8.3/4.8.4</t>
  </si>
  <si>
    <t>For direct lighting, use spacing rules or illuminance calculations.</t>
  </si>
  <si>
    <t>Final number depends on luminaire classification, mounting height, spacing table and layout.</t>
  </si>
  <si>
    <t>Appendix E: 0.2 lx; Appendix F: 1 lx for stairs.</t>
  </si>
  <si>
    <t>AS/NZS 2293.1:2018 Cl 4.6, App E/F</t>
  </si>
  <si>
    <t>Maintained/combined maintained emergency luminaires on stairs need de-rating to next higher classification.</t>
  </si>
  <si>
    <t>When using maintained or combined maintained fittings on stairs, select next higher classification in Appendix F.</t>
  </si>
  <si>
    <t>Use next higher classification.</t>
  </si>
  <si>
    <t>AS/NZS 2293.1 Amd 1:2021 Cl 4.8.2</t>
  </si>
  <si>
    <t>Exit signs shall be installed where required by NZBC F8/AS1 and conform to AS/NZS 2293.3.</t>
  </si>
  <si>
    <t>Provide exit/directional signs at required exits and where direction is not obvious.</t>
  </si>
  <si>
    <t>Use correct sign type and viewing distance.</t>
  </si>
  <si>
    <t>AS/NZS 2293.1:2018 Cl 5.2; AS/NZS 2293.3</t>
  </si>
  <si>
    <t>Exit signs should normally be mounted 2.0 m to 2.7 m above floor level; if not practical, consider larger sign size.</t>
  </si>
  <si>
    <t>Confirm mounting height on drawings.</t>
  </si>
  <si>
    <t>2.0–2.7 m typical mounting range.</t>
  </si>
  <si>
    <t>AS/NZS 2293.1:2018 Cl 5.8</t>
  </si>
  <si>
    <t>Emergency luminaires and exit signs must operate on loss of normal lighting supply in the designated area.</t>
  </si>
  <si>
    <t>Sensing/control wiring must be connected to relevant normal lighting subcircuits.</t>
  </si>
  <si>
    <t>Automatic operation on supply failure.</t>
  </si>
  <si>
    <t>AS/NZS 2293.1:2018 Cl 2.3.3</t>
  </si>
  <si>
    <t>Every emergency luminaire/exit sign must be uniquely identifiable for inspection and maintenance.</t>
  </si>
  <si>
    <t>Assign IDs such as A-EL-001, A-EX-001, B-EL-001.</t>
  </si>
  <si>
    <t>Unique visible identifier.</t>
  </si>
  <si>
    <t>AS/NZS 2293.1:2018 Cl 2.5</t>
  </si>
  <si>
    <t>A dual-function internally illuminated exit sign may count as both exit sign and emergency luminaire if it meets both requirements.</t>
  </si>
  <si>
    <t>Can reduce fitting count near exits, but only if product data/classification supports it.</t>
  </si>
  <si>
    <t>Must comply with both emergency luminaire and exit sign requirements.</t>
  </si>
  <si>
    <t>AS/NZS 2293.1:2018 Cl 4.4</t>
  </si>
  <si>
    <t>Self-contained emergency luminaires/exit signs require battery charger indication and test facilities.</t>
  </si>
  <si>
    <t>Select products with visible charge indicator and discharge test facility.</t>
  </si>
  <si>
    <t>Indicator visible; test without disconnecting normal lighting.</t>
  </si>
  <si>
    <t>AS/NZS 2293.1:2018 Section 3; AS/NZS 2293.3 Cl 4.4</t>
  </si>
  <si>
    <t>Routine service records must include installed fittings, quantity/type/location, defects, responsible entity and service details.</t>
  </si>
  <si>
    <t>Keep an emergency light schedule as baseline/maintenance data.</t>
  </si>
  <si>
    <t>Retain records for 7 years.</t>
  </si>
  <si>
    <t>AS/NZS 2293.2:2019 Cl 2.7</t>
  </si>
  <si>
    <t>Building A – emergency lighting room/area take-off</t>
  </si>
  <si>
    <t>Replace example room numbers/areas with the actual plan. Formula is a conservative planning estimate; final design must be verified against AS/NZS 2293.1 spacing tables or illuminance calculation.</t>
  </si>
  <si>
    <t>Building</t>
  </si>
  <si>
    <t>Level</t>
  </si>
  <si>
    <t>Room/Area No.</t>
  </si>
  <si>
    <t>Room/Area name</t>
  </si>
  <si>
    <t>Area type</t>
  </si>
  <si>
    <t>Area m²</t>
  </si>
  <si>
    <t>Exit-sign doorways</t>
  </si>
  <si>
    <t>Corridor intersections</t>
  </si>
  <si>
    <t>Direction changes</t>
  </si>
  <si>
    <t>Floor level changes</t>
  </si>
  <si>
    <t>Stair/landing points requiring calc</t>
  </si>
  <si>
    <t>Spacing/calc extra lights</t>
  </si>
  <si>
    <t>Dual-function exit sign used?</t>
  </si>
  <si>
    <t>Min emergency lights by formula</t>
  </si>
  <si>
    <t>Proposed emergency lights</t>
  </si>
  <si>
    <t>Exit signs required</t>
  </si>
  <si>
    <t>Proposed exit signs</t>
  </si>
  <si>
    <t>Fitting IDs / labels</t>
  </si>
  <si>
    <t>Mounting / location notes</t>
  </si>
  <si>
    <t>Compliance status</t>
  </si>
  <si>
    <t>Designer notes</t>
  </si>
  <si>
    <t>A</t>
  </si>
  <si>
    <t>G</t>
  </si>
  <si>
    <t>A-001</t>
  </si>
  <si>
    <t>Main entrance / lobby</t>
  </si>
  <si>
    <t>Lobby</t>
  </si>
  <si>
    <t>No</t>
  </si>
  <si>
    <t>Exit sign at each required exit door. EM within 2 m approach side.</t>
  </si>
  <si>
    <t>Update with real plan room number.</t>
  </si>
  <si>
    <t>A-002</t>
  </si>
  <si>
    <t>Main corridor</t>
  </si>
  <si>
    <t>Corridor</t>
  </si>
  <si>
    <t>EM within 2 m of intersections and direction changes; check spacing table between fittings.</t>
  </si>
  <si>
    <t>A-003</t>
  </si>
  <si>
    <t>Stair 1</t>
  </si>
  <si>
    <t>Stair</t>
  </si>
  <si>
    <t>Use 1 lx Appendix F / calculation for each landing and tread. Position to avoid glare.</t>
  </si>
  <si>
    <t>A-004</t>
  </si>
  <si>
    <t>Stair 2</t>
  </si>
  <si>
    <t>A-005</t>
  </si>
  <si>
    <t>Open office / work area</t>
  </si>
  <si>
    <t>Office</t>
  </si>
  <si>
    <t>At least by area allowance; add fittings using spacing table for selected classification.</t>
  </si>
  <si>
    <t>A-006</t>
  </si>
  <si>
    <t>Plant / switchboard room</t>
  </si>
  <si>
    <t>Plant room</t>
  </si>
  <si>
    <t>Provide emergency lighting if part of designated route or required by fire/maintenance strategy.</t>
  </si>
  <si>
    <t>A-007</t>
  </si>
  <si>
    <t>Toilets / amenities</t>
  </si>
  <si>
    <t>Toilets</t>
  </si>
  <si>
    <t>Emergency coverage needed if designated area or internal path of travel.</t>
  </si>
  <si>
    <t>A-008</t>
  </si>
  <si>
    <t>Store / cleaners room</t>
  </si>
  <si>
    <t>Storage</t>
  </si>
  <si>
    <t>Usually no exit sign unless part of escape path; check if room is windowless/occupied and local code requirement.</t>
  </si>
  <si>
    <t>A-009</t>
  </si>
  <si>
    <t>Reception / first aid point</t>
  </si>
  <si>
    <t>Reception / First aid</t>
  </si>
  <si>
    <t>Check visibility of safety equipment and escape path. Normal lighting lux is separate from emergency lighting.</t>
  </si>
  <si>
    <t>A-010</t>
  </si>
  <si>
    <t>External exit discharge / covered path</t>
  </si>
  <si>
    <t>External egress</t>
  </si>
  <si>
    <t>If part of required escape route/discharge path, coordinate with NZBC F6/F8 requirements.</t>
  </si>
  <si>
    <t>1</t>
  </si>
  <si>
    <t>A-101</t>
  </si>
  <si>
    <t>Upper corridor</t>
  </si>
  <si>
    <t>A-102</t>
  </si>
  <si>
    <t>Meeting / classroom / office</t>
  </si>
  <si>
    <t>Room</t>
  </si>
  <si>
    <t>If room forms designated area or escape route, emergency lighting required. Otherwise confirm with NZBC fire report.</t>
  </si>
  <si>
    <t>A-103</t>
  </si>
  <si>
    <t>Secondary exit lobby</t>
  </si>
  <si>
    <t>Exit lobby</t>
  </si>
  <si>
    <t>Exit signs at required exits; EM within 2 m approach side.</t>
  </si>
  <si>
    <t>TOTAL</t>
  </si>
  <si>
    <t>Building B – emergency lighting room/area take-off</t>
  </si>
  <si>
    <t>B</t>
  </si>
  <si>
    <t>B-001</t>
  </si>
  <si>
    <t>B-002</t>
  </si>
  <si>
    <t>B-003</t>
  </si>
  <si>
    <t>B-004</t>
  </si>
  <si>
    <t>B-005</t>
  </si>
  <si>
    <t>B-006</t>
  </si>
  <si>
    <t>B-007</t>
  </si>
  <si>
    <t>B-008</t>
  </si>
  <si>
    <t>B-009</t>
  </si>
  <si>
    <t>B-010</t>
  </si>
  <si>
    <t>B-101</t>
  </si>
  <si>
    <t>B-102</t>
  </si>
  <si>
    <t>B-103</t>
  </si>
  <si>
    <t>Emergency Lighting Take-off Summary</t>
  </si>
  <si>
    <t>Required emergency lights</t>
  </si>
  <si>
    <t>Required exit signs</t>
  </si>
  <si>
    <t>Rooms/areas listed</t>
  </si>
  <si>
    <t>Rows needing design/check</t>
  </si>
  <si>
    <t>Notes</t>
  </si>
  <si>
    <t>From Building A sheet</t>
  </si>
  <si>
    <t>From Building B sheet</t>
  </si>
  <si>
    <t>Design notes / warnings</t>
  </si>
  <si>
    <t>The totals are planning estimates only. Final design must use actual room geometry and selected fitting photometric classification/spacing tables.</t>
  </si>
  <si>
    <t>2</t>
  </si>
  <si>
    <t>For corridors, count each exit-sign door, intersection, change of direction, and low side of level change. Then check maximum spacing between fittings.</t>
  </si>
  <si>
    <t>3</t>
  </si>
  <si>
    <t>For stairs, do a separate stair calculation to prove 1 lx over treads and landings. The sheet includes a count column but final luminaire positions must be checked.</t>
  </si>
  <si>
    <t>4</t>
  </si>
  <si>
    <t>If a dual-function exit sign is used, it can count as both exit sign and emergency luminaire only if the product conforms and is classified for that use.</t>
  </si>
  <si>
    <t>5</t>
  </si>
  <si>
    <t>Exit sign quantities depend on NZBC F8/AS1/fire report requirements and sightlines; update after checking actual egress paths.</t>
  </si>
  <si>
    <t>6</t>
  </si>
  <si>
    <t>Replace example room numbers with actual room numbers from Building A and Building B drawings.</t>
  </si>
  <si>
    <t>Emergency lighting maintenance checklist</t>
  </si>
  <si>
    <t>Frequency</t>
  </si>
  <si>
    <t>Activity</t>
  </si>
  <si>
    <t>Record required</t>
  </si>
  <si>
    <t>Status</t>
  </si>
  <si>
    <t>6-monthly</t>
  </si>
  <si>
    <t>Emergency luminaires and exit/directional signs</t>
  </si>
  <si>
    <t>Inspect each fitting/sign; record if functioning as required.</t>
  </si>
  <si>
    <t>Pass/Fail per item</t>
  </si>
  <si>
    <t>Both buildings</t>
  </si>
  <si>
    <t>AS/NZS 2293.2:2019 Table A2 Item 2.1</t>
  </si>
  <si>
    <t>To do</t>
  </si>
  <si>
    <t>Condition</t>
  </si>
  <si>
    <t>Check free from damage, deterioration, contamination or other conditions affecting function.</t>
  </si>
  <si>
    <t>Pass/Fail / noted, replaced, cleaned</t>
  </si>
  <si>
    <t>AS/NZS 2293.2:2019 Table A2 Item 2.2</t>
  </si>
  <si>
    <t>Exit/directional signs</t>
  </si>
  <si>
    <t>Confirm direction to required exit is correct per approved design.</t>
  </si>
  <si>
    <t>AS/NZS 2293.2:2019 Table A2 Item 2.3</t>
  </si>
  <si>
    <t>Duration test</t>
  </si>
  <si>
    <t>Initiate test by simulating loss of primary power using designated test facility; inspect for required duration.</t>
  </si>
  <si>
    <t>Start time and Pass/Fail per fitting</t>
  </si>
  <si>
    <t>AS/NZS 2293.2:2019 Table A2 Items 2.7–2.8</t>
  </si>
  <si>
    <t>Yearly</t>
  </si>
  <si>
    <t>Reflecting surfaces for indirect systems</t>
  </si>
  <si>
    <t>Inspect ceilings/walls for changes that could affect approved design.</t>
  </si>
  <si>
    <t>Pass/Fail</t>
  </si>
  <si>
    <t>If indirect lighting used</t>
  </si>
  <si>
    <t>AS/NZS 2293.2:2019 Table A4 Item 4.2</t>
  </si>
  <si>
    <t>Directional beam luminaires</t>
  </si>
  <si>
    <t>Check aim is according to approved design and not directed into occupants’ eyes.</t>
  </si>
  <si>
    <t>Pass/Fail per directional beam</t>
  </si>
  <si>
    <t>If directional beam used</t>
  </si>
  <si>
    <t>AS/NZS 2293.2:2019 Table A4 Item 4.3</t>
  </si>
  <si>
    <t>Emergency light and exit sign schedule</t>
  </si>
  <si>
    <t>Check fitting schedule/drawings against installed fittings and changes since last service.</t>
  </si>
  <si>
    <t>Record outcomes</t>
  </si>
  <si>
    <t>AS/NZS 2293.2:2019 Table A4 Item 4.9</t>
  </si>
  <si>
    <t>Survey emergency luminaires</t>
  </si>
  <si>
    <t>Inspect building for adequate emergency lighting according to approved design.</t>
  </si>
  <si>
    <t>AS/NZS 2293.2:2019 Table A4 Item 4.11</t>
  </si>
  <si>
    <t>Survey exit and directional signs</t>
  </si>
  <si>
    <t>Check adequate identification of exits and paths of travel to exits; check unauthorized changes.</t>
  </si>
  <si>
    <t>AS/NZS 2293.2:2019 Table A4 Item 4.12</t>
  </si>
  <si>
    <t>Records</t>
  </si>
  <si>
    <t>Routine service records</t>
  </si>
  <si>
    <t>Log service at the time and provide records to responsible entity before leaving or within one week.</t>
  </si>
  <si>
    <t>Service record retained</t>
  </si>
  <si>
    <t>Retention</t>
  </si>
  <si>
    <t>Keep records on premises electronically/logbook/printed securely.</t>
  </si>
  <si>
    <t>Minimum 7 years</t>
  </si>
  <si>
    <t>AS/NZS 2293.2:2019 Cl 2.7.4</t>
  </si>
  <si>
    <t>References used in this workbook</t>
  </si>
  <si>
    <t>Source</t>
  </si>
  <si>
    <t>Section / Clause</t>
  </si>
  <si>
    <t>Used for</t>
  </si>
  <si>
    <t>File in workspace</t>
  </si>
  <si>
    <t>AS/NZS 2293.1:2018 Incorporating Amendment No. 1</t>
  </si>
  <si>
    <t>Section 1.1, 2.2, 2.3, 2.5, 4.3–4.8, 5.2–5.8</t>
  </si>
  <si>
    <t>Design, installation, required locations, duration, exit signs</t>
  </si>
  <si>
    <t>NZBC takes precedence in NZ; F6/AS1 and F8/AS1 cite AS/NZS 2293.1 as means of compliance.</t>
  </si>
  <si>
    <t>/mnt/data/ASNZS-2293-12018.pdf and /mnt/data/ASNZS-2293-12018-A1.pdf</t>
  </si>
  <si>
    <t>AS/NZS 2293.2:2019</t>
  </si>
  <si>
    <t>Section 2, Appendix A</t>
  </si>
  <si>
    <t>Routine service, testing, record keeping, maintenance checklist</t>
  </si>
  <si>
    <t>Use for ongoing compliance after installation.</t>
  </si>
  <si>
    <t>/mnt/data/ASNZS-2293-22019.pdf</t>
  </si>
  <si>
    <t>AS/NZS 2293.3:2018 Incorporating Amendment No. 1</t>
  </si>
  <si>
    <t>Sections 2–5, Appendices C/D</t>
  </si>
  <si>
    <t>Product conformance, classification, batteries/chargers, exit sign requirements</t>
  </si>
  <si>
    <t>Selected products need test data/classification.</t>
  </si>
  <si>
    <t>/mnt/data/ASNZS-2293-32018.pdf and /mnt/data/ASNZS-2293-32018-A1.pdf</t>
  </si>
  <si>
    <t>AS/NZS 1680.1:2006 and AS/NZS 1680 series</t>
  </si>
  <si>
    <t>General interior lighting and safe movement references</t>
  </si>
  <si>
    <t>Normal lighting/lux is separate from emergency lighting, but helps distinguish normal lighting design from emergency design.</t>
  </si>
  <si>
    <t>Emergency lighting uses AS/NZS 2293; normal lighting uses AS/NZS 1680.</t>
  </si>
  <si>
    <t>/mnt/data/ASNZS-1680-12006.pdf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</si>
</sst>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7030A0"/>
      </patternFill>
    </fill>
    <fill>
      <patternFill patternType="solid">
        <fgColor rgb="FFC65911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548235"/>
      </patternFill>
    </fill>
    <fill>
      <patternFill patternType="solid">
        <fgColor rgb="FF66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3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2" fillId="8" borderId="0" xfId="0" applyFont="1" applyFill="1"/>
    <xf numFmtId="0" fontId="2" fillId="8" borderId="0" xfId="0" applyFont="1" applyFill="1" applyAlignment="1">
      <alignment wrapText="1"/>
    </xf>
    <xf numFmtId="0" fontId="3" fillId="9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10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wrapText="1"/>
    </xf>
    <xf numFmtId="0" fontId="2" fillId="8" borderId="0" xfId="0" applyFont="1" applyFill="1" applyAlignment="1">
      <alignment wrapText="1"/>
    </xf>
    <xf numFmtId="0" fontId="1" fillId="9" borderId="0" xfId="0" applyFont="1" applyFill="1" applyAlignment="1">
      <alignment horizontal="center" vertical="center" wrapText="1"/>
    </xf>
    <xf numFmtId="0" fontId="3" fillId="10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</cellXfs>
  <cellStyles count="1">
    <cellStyle name="Normal" xfId="0" builtinId="0"/>
  </cellStyles>
  <dxfs count="4"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orkbookViewId="0">
      <selection activeCell="A18" sqref="A18"/>
    </sheetView>
  </sheetViews>
  <sheetFormatPr defaultRowHeight="13.8"/>
  <cols>
    <col min="1" max="1" width="81.69921875" customWidth="1"/>
    <col min="2" max="2" width="65" customWidth="1"/>
  </cols>
  <sheetData>
    <row r="1" spans="1:8" ht="13.35" customHeight="1">
      <c r="A1" s="11" t="s">
        <v>0</v>
      </c>
      <c r="B1" s="11"/>
      <c r="C1" s="11"/>
      <c r="D1" s="11"/>
      <c r="E1" s="11"/>
      <c r="F1" s="11"/>
      <c r="G1" s="11"/>
      <c r="H1" s="11"/>
    </row>
    <row r="2" spans="1:8" ht="12" customHeight="1">
      <c r="A2" s="12" t="s">
        <v>1</v>
      </c>
      <c r="B2" s="12"/>
      <c r="C2" s="12"/>
      <c r="D2" s="12"/>
      <c r="E2" s="12"/>
      <c r="F2" s="12"/>
      <c r="G2" s="12"/>
      <c r="H2" s="12"/>
    </row>
    <row r="4" spans="1:8" ht="12" customHeight="1">
      <c r="A4" s="1" t="s">
        <v>2</v>
      </c>
      <c r="B4" s="2" t="s">
        <v>3</v>
      </c>
    </row>
    <row r="5" spans="1:8" ht="12" customHeight="1">
      <c r="A5" s="1" t="s">
        <v>4</v>
      </c>
      <c r="B5" s="2" t="s">
        <v>5</v>
      </c>
    </row>
    <row r="6" spans="1:8" ht="12" customHeight="1">
      <c r="A6" s="1" t="s">
        <v>6</v>
      </c>
      <c r="B6" s="2" t="s">
        <v>7</v>
      </c>
    </row>
    <row r="7" spans="1:8" ht="12" customHeight="1">
      <c r="A7" s="1" t="s">
        <v>8</v>
      </c>
      <c r="B7" s="2" t="s">
        <v>9</v>
      </c>
    </row>
    <row r="8" spans="1:8" ht="12" customHeight="1">
      <c r="A8" s="1" t="s">
        <v>10</v>
      </c>
      <c r="B8" s="2" t="s">
        <v>11</v>
      </c>
    </row>
    <row r="9" spans="1:8" ht="12" customHeight="1">
      <c r="A9" s="1" t="s">
        <v>12</v>
      </c>
      <c r="B9" s="2" t="s">
        <v>13</v>
      </c>
    </row>
    <row r="10" spans="1:8" ht="12" customHeight="1">
      <c r="A10" s="1" t="s">
        <v>14</v>
      </c>
      <c r="B10" s="2" t="s">
        <v>15</v>
      </c>
    </row>
    <row r="11" spans="1:8" ht="12" customHeight="1">
      <c r="A11" s="1" t="s">
        <v>16</v>
      </c>
      <c r="B11" s="2" t="s">
        <v>17</v>
      </c>
    </row>
    <row r="12" spans="1:8" ht="12" customHeight="1">
      <c r="A12" s="1" t="s">
        <v>18</v>
      </c>
      <c r="B12" s="2" t="s">
        <v>19</v>
      </c>
    </row>
    <row r="14" spans="1:8" ht="12" customHeight="1">
      <c r="A14" s="3" t="s">
        <v>20</v>
      </c>
      <c r="B14" s="3" t="s">
        <v>21</v>
      </c>
      <c r="C14" s="3"/>
      <c r="D14" s="3"/>
      <c r="E14" s="3"/>
      <c r="F14" s="3"/>
      <c r="G14" s="3"/>
      <c r="H14" s="3"/>
    </row>
    <row r="15" spans="1:8" ht="12" customHeight="1">
      <c r="A15" t="s">
        <v>22</v>
      </c>
      <c r="B15" t="s">
        <v>23</v>
      </c>
    </row>
    <row r="16" spans="1:8" ht="12" customHeight="1">
      <c r="A16" t="s">
        <v>24</v>
      </c>
      <c r="B16" t="s">
        <v>25</v>
      </c>
    </row>
    <row r="17" spans="1:2" ht="12" customHeight="1">
      <c r="A17" t="s">
        <v>26</v>
      </c>
      <c r="B17" t="s">
        <v>27</v>
      </c>
    </row>
    <row r="18" spans="1:2" ht="12" customHeight="1">
      <c r="A18" t="s">
        <v>28</v>
      </c>
      <c r="B18" t="s">
        <v>29</v>
      </c>
    </row>
    <row r="19" spans="1:2" ht="12" customHeight="1">
      <c r="A19" t="s">
        <v>30</v>
      </c>
      <c r="B19" t="s">
        <v>31</v>
      </c>
    </row>
    <row r="20" spans="1:2" ht="12" customHeight="1">
      <c r="A20" t="s">
        <v>32</v>
      </c>
      <c r="B20" t="s">
        <v>33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9"/>
  <sheetViews>
    <sheetView tabSelected="1" workbookViewId="0">
      <selection sqref="A1:G1"/>
    </sheetView>
  </sheetViews>
  <sheetFormatPr defaultRowHeight="13.8"/>
  <cols>
    <col min="1" max="1" width="57.5" customWidth="1"/>
    <col min="2" max="2" width="45" customWidth="1"/>
    <col min="3" max="3" width="38" customWidth="1"/>
    <col min="4" max="4" width="32" customWidth="1"/>
    <col min="5" max="5" width="8.19921875" customWidth="1"/>
    <col min="6" max="6" width="34" customWidth="1"/>
    <col min="7" max="7" width="10.09765625" customWidth="1"/>
  </cols>
  <sheetData>
    <row r="1" spans="1:7" ht="17.399999999999999">
      <c r="A1" s="13" t="s">
        <v>34</v>
      </c>
      <c r="B1" s="13"/>
      <c r="C1" s="13"/>
      <c r="D1" s="13"/>
      <c r="E1" s="13"/>
      <c r="F1" s="13"/>
      <c r="G1" s="13"/>
    </row>
    <row r="3" spans="1:7" ht="27.6">
      <c r="A3" s="4" t="s">
        <v>35</v>
      </c>
      <c r="B3" s="4" t="s">
        <v>36</v>
      </c>
      <c r="C3" s="4" t="s">
        <v>37</v>
      </c>
      <c r="D3" s="4" t="s">
        <v>38</v>
      </c>
      <c r="E3" s="4" t="s">
        <v>39</v>
      </c>
      <c r="F3" s="4" t="s">
        <v>40</v>
      </c>
      <c r="G3" s="4" t="s">
        <v>41</v>
      </c>
    </row>
    <row r="4" spans="1:7" ht="27.6">
      <c r="A4" s="2">
        <v>1</v>
      </c>
      <c r="B4" s="2" t="s">
        <v>42</v>
      </c>
      <c r="C4" s="2" t="s">
        <v>43</v>
      </c>
      <c r="D4" s="2" t="s">
        <v>44</v>
      </c>
      <c r="E4" s="2" t="s">
        <v>45</v>
      </c>
      <c r="F4" s="2" t="s">
        <v>46</v>
      </c>
      <c r="G4" s="2" t="s">
        <v>47</v>
      </c>
    </row>
    <row r="5" spans="1:7" ht="27.6">
      <c r="A5" s="2">
        <v>2</v>
      </c>
      <c r="B5" s="2" t="s">
        <v>48</v>
      </c>
      <c r="C5" s="2" t="s">
        <v>49</v>
      </c>
      <c r="D5" s="2" t="s">
        <v>50</v>
      </c>
      <c r="E5" s="2" t="s">
        <v>45</v>
      </c>
      <c r="F5" s="2" t="s">
        <v>46</v>
      </c>
      <c r="G5" s="2" t="s">
        <v>47</v>
      </c>
    </row>
    <row r="6" spans="1:7" ht="41.4">
      <c r="A6" s="2">
        <v>3</v>
      </c>
      <c r="B6" s="2" t="s">
        <v>51</v>
      </c>
      <c r="C6" s="2" t="s">
        <v>52</v>
      </c>
      <c r="D6" s="2" t="s">
        <v>53</v>
      </c>
      <c r="E6" s="2" t="s">
        <v>45</v>
      </c>
      <c r="F6" s="2" t="s">
        <v>54</v>
      </c>
      <c r="G6" s="2" t="s">
        <v>47</v>
      </c>
    </row>
    <row r="7" spans="1:7" ht="27.6">
      <c r="A7" s="2">
        <v>4</v>
      </c>
      <c r="B7" s="2" t="s">
        <v>55</v>
      </c>
      <c r="C7" s="2" t="s">
        <v>56</v>
      </c>
      <c r="D7" s="2" t="s">
        <v>57</v>
      </c>
      <c r="E7" s="2" t="s">
        <v>45</v>
      </c>
      <c r="F7" s="2" t="s">
        <v>58</v>
      </c>
      <c r="G7" s="2" t="s">
        <v>47</v>
      </c>
    </row>
    <row r="8" spans="1:7" ht="41.4">
      <c r="A8" s="2">
        <v>5</v>
      </c>
      <c r="B8" s="2" t="s">
        <v>59</v>
      </c>
      <c r="C8" s="2" t="s">
        <v>60</v>
      </c>
      <c r="D8" s="2" t="s">
        <v>61</v>
      </c>
      <c r="E8" s="2" t="s">
        <v>45</v>
      </c>
      <c r="F8" s="2" t="s">
        <v>62</v>
      </c>
      <c r="G8" s="2" t="s">
        <v>47</v>
      </c>
    </row>
    <row r="9" spans="1:7" ht="27.6">
      <c r="A9" s="2">
        <v>6</v>
      </c>
      <c r="B9" s="2" t="s">
        <v>63</v>
      </c>
      <c r="C9" s="2" t="s">
        <v>64</v>
      </c>
      <c r="D9" s="2" t="s">
        <v>65</v>
      </c>
      <c r="E9" s="2" t="s">
        <v>45</v>
      </c>
      <c r="F9" s="2" t="s">
        <v>66</v>
      </c>
      <c r="G9" s="2" t="s">
        <v>47</v>
      </c>
    </row>
    <row r="10" spans="1:7" ht="41.4">
      <c r="A10" s="2">
        <v>7</v>
      </c>
      <c r="B10" s="2" t="s">
        <v>67</v>
      </c>
      <c r="C10" s="2" t="s">
        <v>68</v>
      </c>
      <c r="D10" s="2" t="s">
        <v>69</v>
      </c>
      <c r="E10" s="2" t="s">
        <v>70</v>
      </c>
      <c r="F10" s="2" t="s">
        <v>71</v>
      </c>
      <c r="G10" s="2" t="s">
        <v>47</v>
      </c>
    </row>
    <row r="11" spans="1:7" ht="41.4">
      <c r="A11" s="2">
        <v>8</v>
      </c>
      <c r="B11" s="2" t="s">
        <v>72</v>
      </c>
      <c r="C11" s="2" t="s">
        <v>73</v>
      </c>
      <c r="D11" s="2" t="s">
        <v>74</v>
      </c>
      <c r="E11" s="2" t="s">
        <v>45</v>
      </c>
      <c r="F11" s="2" t="s">
        <v>75</v>
      </c>
      <c r="G11" s="2" t="s">
        <v>47</v>
      </c>
    </row>
    <row r="12" spans="1:7" ht="41.4">
      <c r="A12" s="2">
        <v>9</v>
      </c>
      <c r="B12" s="2" t="s">
        <v>76</v>
      </c>
      <c r="C12" s="2" t="s">
        <v>77</v>
      </c>
      <c r="D12" s="2" t="s">
        <v>78</v>
      </c>
      <c r="E12" s="2" t="s">
        <v>70</v>
      </c>
      <c r="F12" s="2" t="s">
        <v>79</v>
      </c>
      <c r="G12" s="2" t="s">
        <v>47</v>
      </c>
    </row>
    <row r="13" spans="1:7" ht="27.6">
      <c r="A13" s="2">
        <v>10</v>
      </c>
      <c r="B13" s="2" t="s">
        <v>80</v>
      </c>
      <c r="C13" s="2" t="s">
        <v>81</v>
      </c>
      <c r="D13" s="2" t="s">
        <v>82</v>
      </c>
      <c r="E13" s="2" t="s">
        <v>45</v>
      </c>
      <c r="F13" s="2" t="s">
        <v>83</v>
      </c>
      <c r="G13" s="2" t="s">
        <v>47</v>
      </c>
    </row>
    <row r="14" spans="1:7" ht="41.4">
      <c r="A14" s="2">
        <v>11</v>
      </c>
      <c r="B14" s="2" t="s">
        <v>84</v>
      </c>
      <c r="C14" s="2" t="s">
        <v>85</v>
      </c>
      <c r="D14" s="2" t="s">
        <v>86</v>
      </c>
      <c r="E14" s="2" t="s">
        <v>45</v>
      </c>
      <c r="F14" s="2" t="s">
        <v>87</v>
      </c>
      <c r="G14" s="2" t="s">
        <v>47</v>
      </c>
    </row>
    <row r="15" spans="1:7" ht="27.6">
      <c r="A15" s="2">
        <v>12</v>
      </c>
      <c r="B15" s="2" t="s">
        <v>88</v>
      </c>
      <c r="C15" s="2" t="s">
        <v>89</v>
      </c>
      <c r="D15" s="2" t="s">
        <v>90</v>
      </c>
      <c r="E15" s="2" t="s">
        <v>45</v>
      </c>
      <c r="F15" s="2" t="s">
        <v>91</v>
      </c>
      <c r="G15" s="2" t="s">
        <v>47</v>
      </c>
    </row>
    <row r="16" spans="1:7" ht="27.6">
      <c r="A16" s="2">
        <v>13</v>
      </c>
      <c r="B16" s="2" t="s">
        <v>92</v>
      </c>
      <c r="C16" s="2" t="s">
        <v>93</v>
      </c>
      <c r="D16" s="2" t="s">
        <v>94</v>
      </c>
      <c r="E16" s="2" t="s">
        <v>45</v>
      </c>
      <c r="F16" s="2" t="s">
        <v>95</v>
      </c>
      <c r="G16" s="2" t="s">
        <v>47</v>
      </c>
    </row>
    <row r="17" spans="1:7" ht="41.4">
      <c r="A17" s="2">
        <v>14</v>
      </c>
      <c r="B17" s="2" t="s">
        <v>96</v>
      </c>
      <c r="C17" s="2" t="s">
        <v>97</v>
      </c>
      <c r="D17" s="2" t="s">
        <v>98</v>
      </c>
      <c r="E17" s="2" t="s">
        <v>45</v>
      </c>
      <c r="F17" s="2" t="s">
        <v>99</v>
      </c>
      <c r="G17" s="2" t="s">
        <v>47</v>
      </c>
    </row>
    <row r="18" spans="1:7" ht="27.6">
      <c r="A18" s="2">
        <v>15</v>
      </c>
      <c r="B18" s="2" t="s">
        <v>100</v>
      </c>
      <c r="C18" s="2" t="s">
        <v>101</v>
      </c>
      <c r="D18" s="2" t="s">
        <v>102</v>
      </c>
      <c r="E18" s="2" t="s">
        <v>45</v>
      </c>
      <c r="F18" s="2" t="s">
        <v>103</v>
      </c>
      <c r="G18" s="2" t="s">
        <v>47</v>
      </c>
    </row>
    <row r="19" spans="1:7" ht="41.4">
      <c r="A19" s="2">
        <v>16</v>
      </c>
      <c r="B19" s="2" t="s">
        <v>104</v>
      </c>
      <c r="C19" s="2" t="s">
        <v>105</v>
      </c>
      <c r="D19" s="2" t="s">
        <v>106</v>
      </c>
      <c r="E19" s="2" t="s">
        <v>45</v>
      </c>
      <c r="F19" s="2" t="s">
        <v>107</v>
      </c>
      <c r="G19" s="2" t="s">
        <v>47</v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9"/>
  <sheetViews>
    <sheetView zoomScale="85" zoomScaleNormal="85" workbookViewId="0">
      <selection activeCell="G13" sqref="G13"/>
    </sheetView>
  </sheetViews>
  <sheetFormatPr defaultRowHeight="13.8"/>
  <cols>
    <col min="1" max="1" width="10" customWidth="1"/>
    <col min="2" max="2" width="8" customWidth="1"/>
    <col min="3" max="3" width="14" customWidth="1"/>
    <col min="4" max="4" width="28" customWidth="1"/>
    <col min="5" max="5" width="18" customWidth="1"/>
    <col min="6" max="6" width="10" customWidth="1"/>
    <col min="7" max="7" width="14" customWidth="1"/>
    <col min="8" max="8" width="18" customWidth="1"/>
    <col min="9" max="10" width="16" customWidth="1"/>
    <col min="11" max="11" width="18" customWidth="1"/>
    <col min="12" max="12" width="16" customWidth="1"/>
    <col min="13" max="15" width="18" customWidth="1"/>
    <col min="16" max="17" width="14" customWidth="1"/>
    <col min="18" max="18" width="22" customWidth="1"/>
    <col min="19" max="19" width="42" customWidth="1"/>
    <col min="20" max="20" width="16" customWidth="1"/>
    <col min="21" max="21" width="35" customWidth="1"/>
  </cols>
  <sheetData>
    <row r="1" spans="1:21" ht="17.399999999999999">
      <c r="A1" s="14" t="s">
        <v>108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</row>
    <row r="2" spans="1:21">
      <c r="A2" s="15" t="s">
        <v>109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</row>
    <row r="4" spans="1:21" ht="27.6">
      <c r="A4" s="5" t="s">
        <v>110</v>
      </c>
      <c r="B4" s="5" t="s">
        <v>111</v>
      </c>
      <c r="C4" s="5" t="s">
        <v>112</v>
      </c>
      <c r="D4" s="5" t="s">
        <v>113</v>
      </c>
      <c r="E4" s="5" t="s">
        <v>114</v>
      </c>
      <c r="F4" s="5" t="s">
        <v>115</v>
      </c>
      <c r="G4" s="5" t="s">
        <v>116</v>
      </c>
      <c r="H4" s="5" t="s">
        <v>117</v>
      </c>
      <c r="I4" s="5" t="s">
        <v>118</v>
      </c>
      <c r="J4" s="5" t="s">
        <v>119</v>
      </c>
      <c r="K4" s="5" t="s">
        <v>120</v>
      </c>
      <c r="L4" s="5" t="s">
        <v>121</v>
      </c>
      <c r="M4" s="5" t="s">
        <v>122</v>
      </c>
      <c r="N4" s="5" t="s">
        <v>123</v>
      </c>
      <c r="O4" s="5" t="s">
        <v>124</v>
      </c>
      <c r="P4" s="5" t="s">
        <v>125</v>
      </c>
      <c r="Q4" s="5" t="s">
        <v>126</v>
      </c>
      <c r="R4" s="5" t="s">
        <v>127</v>
      </c>
      <c r="S4" s="5" t="s">
        <v>128</v>
      </c>
      <c r="T4" s="5" t="s">
        <v>129</v>
      </c>
      <c r="U4" s="5" t="s">
        <v>130</v>
      </c>
    </row>
    <row r="5" spans="1:21" ht="27.6">
      <c r="A5" s="2" t="s">
        <v>131</v>
      </c>
      <c r="B5" s="2" t="s">
        <v>132</v>
      </c>
      <c r="C5" s="2" t="s">
        <v>133</v>
      </c>
      <c r="D5" s="2" t="s">
        <v>134</v>
      </c>
      <c r="E5" s="2" t="s">
        <v>135</v>
      </c>
      <c r="F5" s="2">
        <v>120</v>
      </c>
      <c r="G5" s="2">
        <v>2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 t="s">
        <v>136</v>
      </c>
      <c r="N5" s="2">
        <f t="shared" ref="N5:N17" si="0">MAX(CEILING(F5/500,1),G5+H5+I5+J5+K5+L5)</f>
        <v>2</v>
      </c>
      <c r="O5" s="2">
        <f t="shared" ref="O5:O17" si="1">N5</f>
        <v>2</v>
      </c>
      <c r="P5" s="2">
        <f t="shared" ref="P5:P17" si="2">G5</f>
        <v>2</v>
      </c>
      <c r="Q5" s="2">
        <f t="shared" ref="Q5:Q17" si="3">P5</f>
        <v>2</v>
      </c>
      <c r="R5" s="2"/>
      <c r="S5" s="2" t="s">
        <v>137</v>
      </c>
      <c r="T5" s="2" t="s">
        <v>47</v>
      </c>
      <c r="U5" s="2" t="s">
        <v>138</v>
      </c>
    </row>
    <row r="6" spans="1:21" ht="27.6">
      <c r="A6" s="2" t="s">
        <v>131</v>
      </c>
      <c r="B6" s="2" t="s">
        <v>132</v>
      </c>
      <c r="C6" s="2" t="s">
        <v>139</v>
      </c>
      <c r="D6" s="2" t="s">
        <v>140</v>
      </c>
      <c r="E6" s="2" t="s">
        <v>141</v>
      </c>
      <c r="F6" s="2">
        <v>90</v>
      </c>
      <c r="G6" s="2">
        <v>0</v>
      </c>
      <c r="H6" s="2">
        <v>2</v>
      </c>
      <c r="I6" s="2">
        <v>1</v>
      </c>
      <c r="J6" s="2">
        <v>0</v>
      </c>
      <c r="K6" s="2">
        <v>0</v>
      </c>
      <c r="L6" s="2">
        <v>0</v>
      </c>
      <c r="M6" s="2" t="s">
        <v>136</v>
      </c>
      <c r="N6" s="2">
        <f t="shared" si="0"/>
        <v>3</v>
      </c>
      <c r="O6" s="2">
        <f t="shared" si="1"/>
        <v>3</v>
      </c>
      <c r="P6" s="2">
        <f t="shared" si="2"/>
        <v>0</v>
      </c>
      <c r="Q6" s="2">
        <f t="shared" si="3"/>
        <v>0</v>
      </c>
      <c r="R6" s="2"/>
      <c r="S6" s="2" t="s">
        <v>142</v>
      </c>
      <c r="T6" s="2" t="s">
        <v>47</v>
      </c>
      <c r="U6" s="2"/>
    </row>
    <row r="7" spans="1:21" ht="27.6">
      <c r="A7" s="2" t="s">
        <v>131</v>
      </c>
      <c r="B7" s="2" t="s">
        <v>132</v>
      </c>
      <c r="C7" s="2" t="s">
        <v>143</v>
      </c>
      <c r="D7" s="2" t="s">
        <v>144</v>
      </c>
      <c r="E7" s="2" t="s">
        <v>145</v>
      </c>
      <c r="F7" s="2">
        <v>35</v>
      </c>
      <c r="G7" s="2">
        <v>1</v>
      </c>
      <c r="H7" s="2">
        <v>0</v>
      </c>
      <c r="I7" s="2">
        <v>0</v>
      </c>
      <c r="J7" s="2">
        <v>0</v>
      </c>
      <c r="K7" s="2">
        <v>4</v>
      </c>
      <c r="L7" s="2">
        <v>0</v>
      </c>
      <c r="M7" s="2" t="s">
        <v>136</v>
      </c>
      <c r="N7" s="2">
        <f t="shared" si="0"/>
        <v>5</v>
      </c>
      <c r="O7" s="2">
        <f t="shared" si="1"/>
        <v>5</v>
      </c>
      <c r="P7" s="2">
        <f t="shared" si="2"/>
        <v>1</v>
      </c>
      <c r="Q7" s="2">
        <f t="shared" si="3"/>
        <v>1</v>
      </c>
      <c r="R7" s="2"/>
      <c r="S7" s="2" t="s">
        <v>146</v>
      </c>
      <c r="T7" s="2" t="s">
        <v>47</v>
      </c>
      <c r="U7" s="2"/>
    </row>
    <row r="8" spans="1:21" ht="27.6">
      <c r="A8" s="2" t="s">
        <v>131</v>
      </c>
      <c r="B8" s="2" t="s">
        <v>132</v>
      </c>
      <c r="C8" s="2" t="s">
        <v>147</v>
      </c>
      <c r="D8" s="2" t="s">
        <v>148</v>
      </c>
      <c r="E8" s="2" t="s">
        <v>145</v>
      </c>
      <c r="F8" s="2">
        <v>35</v>
      </c>
      <c r="G8" s="2">
        <v>1</v>
      </c>
      <c r="H8" s="2">
        <v>0</v>
      </c>
      <c r="I8" s="2">
        <v>0</v>
      </c>
      <c r="J8" s="2">
        <v>0</v>
      </c>
      <c r="K8" s="2">
        <v>4</v>
      </c>
      <c r="L8" s="2">
        <v>0</v>
      </c>
      <c r="M8" s="2" t="s">
        <v>136</v>
      </c>
      <c r="N8" s="2">
        <f t="shared" si="0"/>
        <v>5</v>
      </c>
      <c r="O8" s="2">
        <f t="shared" si="1"/>
        <v>5</v>
      </c>
      <c r="P8" s="2">
        <f t="shared" si="2"/>
        <v>1</v>
      </c>
      <c r="Q8" s="2">
        <f t="shared" si="3"/>
        <v>1</v>
      </c>
      <c r="R8" s="2"/>
      <c r="S8" s="2" t="s">
        <v>146</v>
      </c>
      <c r="T8" s="2" t="s">
        <v>47</v>
      </c>
      <c r="U8" s="2"/>
    </row>
    <row r="9" spans="1:21" ht="27.6">
      <c r="A9" s="2" t="s">
        <v>131</v>
      </c>
      <c r="B9" s="2" t="s">
        <v>132</v>
      </c>
      <c r="C9" s="2" t="s">
        <v>149</v>
      </c>
      <c r="D9" s="2" t="s">
        <v>150</v>
      </c>
      <c r="E9" s="2" t="s">
        <v>151</v>
      </c>
      <c r="F9" s="2">
        <v>320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1</v>
      </c>
      <c r="M9" s="2" t="s">
        <v>136</v>
      </c>
      <c r="N9" s="2">
        <f t="shared" si="0"/>
        <v>1</v>
      </c>
      <c r="O9" s="2">
        <f t="shared" si="1"/>
        <v>1</v>
      </c>
      <c r="P9" s="2">
        <f t="shared" si="2"/>
        <v>0</v>
      </c>
      <c r="Q9" s="2">
        <f t="shared" si="3"/>
        <v>0</v>
      </c>
      <c r="R9" s="2"/>
      <c r="S9" s="2" t="s">
        <v>152</v>
      </c>
      <c r="T9" s="2" t="s">
        <v>47</v>
      </c>
      <c r="U9" s="2"/>
    </row>
    <row r="10" spans="1:21" ht="27.6">
      <c r="A10" s="2" t="s">
        <v>131</v>
      </c>
      <c r="B10" s="2" t="s">
        <v>132</v>
      </c>
      <c r="C10" s="2" t="s">
        <v>153</v>
      </c>
      <c r="D10" s="2" t="s">
        <v>154</v>
      </c>
      <c r="E10" s="2" t="s">
        <v>155</v>
      </c>
      <c r="F10" s="2">
        <v>60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 t="s">
        <v>136</v>
      </c>
      <c r="N10" s="2">
        <f t="shared" si="0"/>
        <v>1</v>
      </c>
      <c r="O10" s="2">
        <f t="shared" si="1"/>
        <v>1</v>
      </c>
      <c r="P10" s="2">
        <f t="shared" si="2"/>
        <v>0</v>
      </c>
      <c r="Q10" s="2">
        <f t="shared" si="3"/>
        <v>0</v>
      </c>
      <c r="R10" s="2"/>
      <c r="S10" s="2" t="s">
        <v>156</v>
      </c>
      <c r="T10" s="2" t="s">
        <v>47</v>
      </c>
      <c r="U10" s="2"/>
    </row>
    <row r="11" spans="1:21" ht="27.6">
      <c r="A11" s="2" t="s">
        <v>131</v>
      </c>
      <c r="B11" s="2" t="s">
        <v>132</v>
      </c>
      <c r="C11" s="2" t="s">
        <v>157</v>
      </c>
      <c r="D11" s="2" t="s">
        <v>158</v>
      </c>
      <c r="E11" s="2" t="s">
        <v>159</v>
      </c>
      <c r="F11" s="2">
        <v>45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 t="s">
        <v>136</v>
      </c>
      <c r="N11" s="2">
        <f t="shared" si="0"/>
        <v>1</v>
      </c>
      <c r="O11" s="2">
        <f t="shared" si="1"/>
        <v>1</v>
      </c>
      <c r="P11" s="2">
        <f t="shared" si="2"/>
        <v>0</v>
      </c>
      <c r="Q11" s="2">
        <f t="shared" si="3"/>
        <v>0</v>
      </c>
      <c r="R11" s="2"/>
      <c r="S11" s="2" t="s">
        <v>160</v>
      </c>
      <c r="T11" s="2" t="s">
        <v>47</v>
      </c>
      <c r="U11" s="2"/>
    </row>
    <row r="12" spans="1:21" ht="41.4">
      <c r="A12" s="2" t="s">
        <v>131</v>
      </c>
      <c r="B12" s="2" t="s">
        <v>132</v>
      </c>
      <c r="C12" s="2" t="s">
        <v>161</v>
      </c>
      <c r="D12" s="2" t="s">
        <v>162</v>
      </c>
      <c r="E12" s="2" t="s">
        <v>163</v>
      </c>
      <c r="F12" s="2">
        <v>30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 t="s">
        <v>136</v>
      </c>
      <c r="N12" s="2">
        <f t="shared" si="0"/>
        <v>1</v>
      </c>
      <c r="O12" s="2">
        <f t="shared" si="1"/>
        <v>1</v>
      </c>
      <c r="P12" s="2">
        <f t="shared" si="2"/>
        <v>0</v>
      </c>
      <c r="Q12" s="2">
        <f t="shared" si="3"/>
        <v>0</v>
      </c>
      <c r="R12" s="2"/>
      <c r="S12" s="2" t="s">
        <v>164</v>
      </c>
      <c r="T12" s="2" t="s">
        <v>47</v>
      </c>
      <c r="U12" s="2"/>
    </row>
    <row r="13" spans="1:21" ht="41.4">
      <c r="A13" s="2" t="s">
        <v>131</v>
      </c>
      <c r="B13" s="2" t="s">
        <v>132</v>
      </c>
      <c r="C13" s="2" t="s">
        <v>165</v>
      </c>
      <c r="D13" s="2" t="s">
        <v>166</v>
      </c>
      <c r="E13" s="2" t="s">
        <v>167</v>
      </c>
      <c r="F13" s="2">
        <v>80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 t="s">
        <v>136</v>
      </c>
      <c r="N13" s="2">
        <f t="shared" si="0"/>
        <v>1</v>
      </c>
      <c r="O13" s="2">
        <f t="shared" si="1"/>
        <v>1</v>
      </c>
      <c r="P13" s="2">
        <f t="shared" si="2"/>
        <v>0</v>
      </c>
      <c r="Q13" s="2">
        <f t="shared" si="3"/>
        <v>0</v>
      </c>
      <c r="R13" s="2"/>
      <c r="S13" s="2" t="s">
        <v>168</v>
      </c>
      <c r="T13" s="2" t="s">
        <v>47</v>
      </c>
      <c r="U13" s="2"/>
    </row>
    <row r="14" spans="1:21" ht="27.6">
      <c r="A14" s="2" t="s">
        <v>131</v>
      </c>
      <c r="B14" s="2" t="s">
        <v>132</v>
      </c>
      <c r="C14" s="2" t="s">
        <v>169</v>
      </c>
      <c r="D14" s="2" t="s">
        <v>170</v>
      </c>
      <c r="E14" s="2" t="s">
        <v>171</v>
      </c>
      <c r="F14" s="2">
        <v>50</v>
      </c>
      <c r="G14" s="2">
        <v>1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 t="s">
        <v>136</v>
      </c>
      <c r="N14" s="2">
        <f t="shared" si="0"/>
        <v>1</v>
      </c>
      <c r="O14" s="2">
        <f t="shared" si="1"/>
        <v>1</v>
      </c>
      <c r="P14" s="2">
        <f t="shared" si="2"/>
        <v>1</v>
      </c>
      <c r="Q14" s="2">
        <f t="shared" si="3"/>
        <v>1</v>
      </c>
      <c r="R14" s="2"/>
      <c r="S14" s="2" t="s">
        <v>172</v>
      </c>
      <c r="T14" s="2" t="s">
        <v>47</v>
      </c>
      <c r="U14" s="2"/>
    </row>
    <row r="15" spans="1:21" ht="27.6">
      <c r="A15" s="2" t="s">
        <v>131</v>
      </c>
      <c r="B15" s="2" t="s">
        <v>173</v>
      </c>
      <c r="C15" s="2" t="s">
        <v>174</v>
      </c>
      <c r="D15" s="2" t="s">
        <v>175</v>
      </c>
      <c r="E15" s="2" t="s">
        <v>141</v>
      </c>
      <c r="F15" s="2">
        <v>100</v>
      </c>
      <c r="G15" s="2">
        <v>0</v>
      </c>
      <c r="H15" s="2">
        <v>2</v>
      </c>
      <c r="I15" s="2">
        <v>1</v>
      </c>
      <c r="J15" s="2">
        <v>0</v>
      </c>
      <c r="K15" s="2">
        <v>0</v>
      </c>
      <c r="L15" s="2">
        <v>0</v>
      </c>
      <c r="M15" s="2" t="s">
        <v>136</v>
      </c>
      <c r="N15" s="2">
        <f t="shared" si="0"/>
        <v>3</v>
      </c>
      <c r="O15" s="2">
        <f t="shared" si="1"/>
        <v>3</v>
      </c>
      <c r="P15" s="2">
        <f t="shared" si="2"/>
        <v>0</v>
      </c>
      <c r="Q15" s="2">
        <f t="shared" si="3"/>
        <v>0</v>
      </c>
      <c r="R15" s="2"/>
      <c r="S15" s="2" t="s">
        <v>142</v>
      </c>
      <c r="T15" s="2" t="s">
        <v>47</v>
      </c>
      <c r="U15" s="2"/>
    </row>
    <row r="16" spans="1:21" ht="41.4">
      <c r="A16" s="2" t="s">
        <v>131</v>
      </c>
      <c r="B16" s="2" t="s">
        <v>173</v>
      </c>
      <c r="C16" s="2" t="s">
        <v>176</v>
      </c>
      <c r="D16" s="2" t="s">
        <v>177</v>
      </c>
      <c r="E16" s="2" t="s">
        <v>178</v>
      </c>
      <c r="F16" s="2">
        <v>180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1</v>
      </c>
      <c r="M16" s="2" t="s">
        <v>136</v>
      </c>
      <c r="N16" s="2">
        <f t="shared" si="0"/>
        <v>1</v>
      </c>
      <c r="O16" s="2">
        <f t="shared" si="1"/>
        <v>1</v>
      </c>
      <c r="P16" s="2">
        <f t="shared" si="2"/>
        <v>0</v>
      </c>
      <c r="Q16" s="2">
        <f t="shared" si="3"/>
        <v>0</v>
      </c>
      <c r="R16" s="2"/>
      <c r="S16" s="2" t="s">
        <v>179</v>
      </c>
      <c r="T16" s="2" t="s">
        <v>47</v>
      </c>
      <c r="U16" s="2"/>
    </row>
    <row r="17" spans="1:21" ht="27.6">
      <c r="A17" s="2" t="s">
        <v>131</v>
      </c>
      <c r="B17" s="2" t="s">
        <v>173</v>
      </c>
      <c r="C17" s="2" t="s">
        <v>180</v>
      </c>
      <c r="D17" s="2" t="s">
        <v>181</v>
      </c>
      <c r="E17" s="2" t="s">
        <v>182</v>
      </c>
      <c r="F17" s="2">
        <v>70</v>
      </c>
      <c r="G17" s="2">
        <v>2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 t="s">
        <v>136</v>
      </c>
      <c r="N17" s="2">
        <f t="shared" si="0"/>
        <v>2</v>
      </c>
      <c r="O17" s="2">
        <f t="shared" si="1"/>
        <v>2</v>
      </c>
      <c r="P17" s="2">
        <f t="shared" si="2"/>
        <v>2</v>
      </c>
      <c r="Q17" s="2">
        <f t="shared" si="3"/>
        <v>2</v>
      </c>
      <c r="R17" s="2"/>
      <c r="S17" s="2" t="s">
        <v>183</v>
      </c>
      <c r="T17" s="2" t="s">
        <v>47</v>
      </c>
      <c r="U17" s="2"/>
    </row>
    <row r="18" spans="1:2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>
      <c r="A19" s="16" t="s">
        <v>184</v>
      </c>
      <c r="B19" s="16"/>
      <c r="C19" s="16"/>
      <c r="D19" s="16"/>
      <c r="E19" s="16"/>
      <c r="F19" s="16">
        <f t="shared" ref="F19:L19" si="4">SUM(F5:F17)</f>
        <v>1215</v>
      </c>
      <c r="G19" s="16">
        <f t="shared" si="4"/>
        <v>7</v>
      </c>
      <c r="H19" s="16">
        <f t="shared" si="4"/>
        <v>4</v>
      </c>
      <c r="I19" s="16">
        <f t="shared" si="4"/>
        <v>2</v>
      </c>
      <c r="J19" s="16">
        <f t="shared" si="4"/>
        <v>0</v>
      </c>
      <c r="K19" s="16">
        <f t="shared" si="4"/>
        <v>8</v>
      </c>
      <c r="L19" s="16">
        <f t="shared" si="4"/>
        <v>2</v>
      </c>
      <c r="M19" s="16"/>
      <c r="N19" s="7">
        <f>SUM(N5:N17)</f>
        <v>27</v>
      </c>
      <c r="O19" s="7">
        <f>SUM(O5:O17)</f>
        <v>27</v>
      </c>
      <c r="P19" s="7">
        <f>SUM(P5:P17)</f>
        <v>7</v>
      </c>
      <c r="Q19" s="7">
        <f>SUM(Q5:Q17)</f>
        <v>7</v>
      </c>
      <c r="R19" s="7"/>
      <c r="S19" s="7"/>
      <c r="T19" s="7"/>
      <c r="U19" s="7"/>
    </row>
  </sheetData>
  <mergeCells count="3">
    <mergeCell ref="A1:U1"/>
    <mergeCell ref="A2:U2"/>
    <mergeCell ref="A19:M19"/>
  </mergeCells>
  <conditionalFormatting sqref="T5:T38">
    <cfRule type="expression" dxfId="3" priority="1">
      <formula>T5="Needs design"</formula>
    </cfRule>
    <cfRule type="expression" dxfId="2" priority="2">
      <formula>T5="Compliant"</formula>
    </cfRule>
  </conditionalFormatting>
  <dataValidations count="3">
    <dataValidation type="list" sqref="E5:E38" xr:uid="{00000000-0002-0000-0200-000000000000}">
      <formula1>"Lobby,Corridor,Stair,Exit lobby,Office,Room,Plant room,Toilets,Storage,Reception / First aid,External egress,Carpark,Other"</formula1>
    </dataValidation>
    <dataValidation type="list" sqref="M5:M38" xr:uid="{00000000-0002-0000-0200-000001000000}">
      <formula1>"No,Yes"</formula1>
    </dataValidation>
    <dataValidation type="list" sqref="T5:T38" xr:uid="{00000000-0002-0000-0200-000002000000}">
      <formula1>"To check,Compliant,Needs design,Not applicable,Installed,Missing info"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9"/>
  <sheetViews>
    <sheetView workbookViewId="0"/>
  </sheetViews>
  <sheetFormatPr defaultRowHeight="13.8"/>
  <cols>
    <col min="1" max="1" width="10" customWidth="1"/>
    <col min="2" max="2" width="8" customWidth="1"/>
    <col min="3" max="3" width="14" customWidth="1"/>
    <col min="4" max="4" width="28" customWidth="1"/>
    <col min="5" max="5" width="18" customWidth="1"/>
    <col min="6" max="6" width="10" customWidth="1"/>
    <col min="7" max="7" width="14" customWidth="1"/>
    <col min="8" max="8" width="18" customWidth="1"/>
    <col min="9" max="10" width="16" customWidth="1"/>
    <col min="11" max="11" width="18" customWidth="1"/>
    <col min="12" max="12" width="16" customWidth="1"/>
    <col min="13" max="15" width="18" customWidth="1"/>
    <col min="16" max="17" width="14" customWidth="1"/>
    <col min="18" max="18" width="22" customWidth="1"/>
    <col min="19" max="19" width="42" customWidth="1"/>
    <col min="20" max="20" width="16" customWidth="1"/>
    <col min="21" max="21" width="35" customWidth="1"/>
  </cols>
  <sheetData>
    <row r="1" spans="1:21" ht="17.399999999999999">
      <c r="A1" s="17" t="s">
        <v>185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</row>
    <row r="2" spans="1:21">
      <c r="A2" s="15" t="s">
        <v>109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</row>
    <row r="4" spans="1:21" ht="27.6">
      <c r="A4" s="8" t="s">
        <v>110</v>
      </c>
      <c r="B4" s="8" t="s">
        <v>111</v>
      </c>
      <c r="C4" s="8" t="s">
        <v>112</v>
      </c>
      <c r="D4" s="8" t="s">
        <v>113</v>
      </c>
      <c r="E4" s="8" t="s">
        <v>114</v>
      </c>
      <c r="F4" s="8" t="s">
        <v>115</v>
      </c>
      <c r="G4" s="8" t="s">
        <v>116</v>
      </c>
      <c r="H4" s="8" t="s">
        <v>117</v>
      </c>
      <c r="I4" s="8" t="s">
        <v>118</v>
      </c>
      <c r="J4" s="8" t="s">
        <v>119</v>
      </c>
      <c r="K4" s="8" t="s">
        <v>120</v>
      </c>
      <c r="L4" s="8" t="s">
        <v>121</v>
      </c>
      <c r="M4" s="8" t="s">
        <v>122</v>
      </c>
      <c r="N4" s="8" t="s">
        <v>123</v>
      </c>
      <c r="O4" s="8" t="s">
        <v>124</v>
      </c>
      <c r="P4" s="8" t="s">
        <v>125</v>
      </c>
      <c r="Q4" s="8" t="s">
        <v>126</v>
      </c>
      <c r="R4" s="8" t="s">
        <v>127</v>
      </c>
      <c r="S4" s="8" t="s">
        <v>128</v>
      </c>
      <c r="T4" s="8" t="s">
        <v>129</v>
      </c>
      <c r="U4" s="8" t="s">
        <v>130</v>
      </c>
    </row>
    <row r="5" spans="1:21" ht="27.6">
      <c r="A5" s="2" t="s">
        <v>186</v>
      </c>
      <c r="B5" s="2" t="s">
        <v>132</v>
      </c>
      <c r="C5" s="2" t="s">
        <v>187</v>
      </c>
      <c r="D5" s="2" t="s">
        <v>134</v>
      </c>
      <c r="E5" s="2" t="s">
        <v>135</v>
      </c>
      <c r="F5" s="2">
        <v>120</v>
      </c>
      <c r="G5" s="2">
        <v>2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 t="s">
        <v>136</v>
      </c>
      <c r="N5" s="2">
        <f t="shared" ref="N5:N17" si="0">MAX(CEILING(F5/500,1),G5+H5+I5+J5+K5+L5)</f>
        <v>2</v>
      </c>
      <c r="O5" s="2">
        <f t="shared" ref="O5:O17" si="1">N5</f>
        <v>2</v>
      </c>
      <c r="P5" s="2">
        <f t="shared" ref="P5:P17" si="2">G5</f>
        <v>2</v>
      </c>
      <c r="Q5" s="2">
        <f t="shared" ref="Q5:Q17" si="3">P5</f>
        <v>2</v>
      </c>
      <c r="R5" s="2"/>
      <c r="S5" s="2" t="s">
        <v>137</v>
      </c>
      <c r="T5" s="2" t="s">
        <v>47</v>
      </c>
      <c r="U5" s="2" t="s">
        <v>138</v>
      </c>
    </row>
    <row r="6" spans="1:21" ht="27.6">
      <c r="A6" s="2" t="s">
        <v>186</v>
      </c>
      <c r="B6" s="2" t="s">
        <v>132</v>
      </c>
      <c r="C6" s="2" t="s">
        <v>188</v>
      </c>
      <c r="D6" s="2" t="s">
        <v>140</v>
      </c>
      <c r="E6" s="2" t="s">
        <v>141</v>
      </c>
      <c r="F6" s="2">
        <v>90</v>
      </c>
      <c r="G6" s="2">
        <v>0</v>
      </c>
      <c r="H6" s="2">
        <v>2</v>
      </c>
      <c r="I6" s="2">
        <v>1</v>
      </c>
      <c r="J6" s="2">
        <v>0</v>
      </c>
      <c r="K6" s="2">
        <v>0</v>
      </c>
      <c r="L6" s="2">
        <v>0</v>
      </c>
      <c r="M6" s="2" t="s">
        <v>136</v>
      </c>
      <c r="N6" s="2">
        <f t="shared" si="0"/>
        <v>3</v>
      </c>
      <c r="O6" s="2">
        <f t="shared" si="1"/>
        <v>3</v>
      </c>
      <c r="P6" s="2">
        <f t="shared" si="2"/>
        <v>0</v>
      </c>
      <c r="Q6" s="2">
        <f t="shared" si="3"/>
        <v>0</v>
      </c>
      <c r="R6" s="2"/>
      <c r="S6" s="2" t="s">
        <v>142</v>
      </c>
      <c r="T6" s="2" t="s">
        <v>47</v>
      </c>
      <c r="U6" s="2"/>
    </row>
    <row r="7" spans="1:21" ht="27.6">
      <c r="A7" s="2" t="s">
        <v>186</v>
      </c>
      <c r="B7" s="2" t="s">
        <v>132</v>
      </c>
      <c r="C7" s="2" t="s">
        <v>189</v>
      </c>
      <c r="D7" s="2" t="s">
        <v>144</v>
      </c>
      <c r="E7" s="2" t="s">
        <v>145</v>
      </c>
      <c r="F7" s="2">
        <v>35</v>
      </c>
      <c r="G7" s="2">
        <v>1</v>
      </c>
      <c r="H7" s="2">
        <v>0</v>
      </c>
      <c r="I7" s="2">
        <v>0</v>
      </c>
      <c r="J7" s="2">
        <v>0</v>
      </c>
      <c r="K7" s="2">
        <v>4</v>
      </c>
      <c r="L7" s="2">
        <v>0</v>
      </c>
      <c r="M7" s="2" t="s">
        <v>136</v>
      </c>
      <c r="N7" s="2">
        <f t="shared" si="0"/>
        <v>5</v>
      </c>
      <c r="O7" s="2">
        <f t="shared" si="1"/>
        <v>5</v>
      </c>
      <c r="P7" s="2">
        <f t="shared" si="2"/>
        <v>1</v>
      </c>
      <c r="Q7" s="2">
        <f t="shared" si="3"/>
        <v>1</v>
      </c>
      <c r="R7" s="2"/>
      <c r="S7" s="2" t="s">
        <v>146</v>
      </c>
      <c r="T7" s="2" t="s">
        <v>47</v>
      </c>
      <c r="U7" s="2"/>
    </row>
    <row r="8" spans="1:21" ht="27.6">
      <c r="A8" s="2" t="s">
        <v>186</v>
      </c>
      <c r="B8" s="2" t="s">
        <v>132</v>
      </c>
      <c r="C8" s="2" t="s">
        <v>190</v>
      </c>
      <c r="D8" s="2" t="s">
        <v>148</v>
      </c>
      <c r="E8" s="2" t="s">
        <v>145</v>
      </c>
      <c r="F8" s="2">
        <v>35</v>
      </c>
      <c r="G8" s="2">
        <v>1</v>
      </c>
      <c r="H8" s="2">
        <v>0</v>
      </c>
      <c r="I8" s="2">
        <v>0</v>
      </c>
      <c r="J8" s="2">
        <v>0</v>
      </c>
      <c r="K8" s="2">
        <v>4</v>
      </c>
      <c r="L8" s="2">
        <v>0</v>
      </c>
      <c r="M8" s="2" t="s">
        <v>136</v>
      </c>
      <c r="N8" s="2">
        <f t="shared" si="0"/>
        <v>5</v>
      </c>
      <c r="O8" s="2">
        <f t="shared" si="1"/>
        <v>5</v>
      </c>
      <c r="P8" s="2">
        <f t="shared" si="2"/>
        <v>1</v>
      </c>
      <c r="Q8" s="2">
        <f t="shared" si="3"/>
        <v>1</v>
      </c>
      <c r="R8" s="2"/>
      <c r="S8" s="2" t="s">
        <v>146</v>
      </c>
      <c r="T8" s="2" t="s">
        <v>47</v>
      </c>
      <c r="U8" s="2"/>
    </row>
    <row r="9" spans="1:21" ht="27.6">
      <c r="A9" s="2" t="s">
        <v>186</v>
      </c>
      <c r="B9" s="2" t="s">
        <v>132</v>
      </c>
      <c r="C9" s="2" t="s">
        <v>191</v>
      </c>
      <c r="D9" s="2" t="s">
        <v>150</v>
      </c>
      <c r="E9" s="2" t="s">
        <v>151</v>
      </c>
      <c r="F9" s="2">
        <v>320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1</v>
      </c>
      <c r="M9" s="2" t="s">
        <v>136</v>
      </c>
      <c r="N9" s="2">
        <f t="shared" si="0"/>
        <v>1</v>
      </c>
      <c r="O9" s="2">
        <f t="shared" si="1"/>
        <v>1</v>
      </c>
      <c r="P9" s="2">
        <f t="shared" si="2"/>
        <v>0</v>
      </c>
      <c r="Q9" s="2">
        <f t="shared" si="3"/>
        <v>0</v>
      </c>
      <c r="R9" s="2"/>
      <c r="S9" s="2" t="s">
        <v>152</v>
      </c>
      <c r="T9" s="2" t="s">
        <v>47</v>
      </c>
      <c r="U9" s="2"/>
    </row>
    <row r="10" spans="1:21" ht="27.6">
      <c r="A10" s="2" t="s">
        <v>186</v>
      </c>
      <c r="B10" s="2" t="s">
        <v>132</v>
      </c>
      <c r="C10" s="2" t="s">
        <v>192</v>
      </c>
      <c r="D10" s="2" t="s">
        <v>154</v>
      </c>
      <c r="E10" s="2" t="s">
        <v>155</v>
      </c>
      <c r="F10" s="2">
        <v>60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 t="s">
        <v>136</v>
      </c>
      <c r="N10" s="2">
        <f t="shared" si="0"/>
        <v>1</v>
      </c>
      <c r="O10" s="2">
        <f t="shared" si="1"/>
        <v>1</v>
      </c>
      <c r="P10" s="2">
        <f t="shared" si="2"/>
        <v>0</v>
      </c>
      <c r="Q10" s="2">
        <f t="shared" si="3"/>
        <v>0</v>
      </c>
      <c r="R10" s="2"/>
      <c r="S10" s="2" t="s">
        <v>156</v>
      </c>
      <c r="T10" s="2" t="s">
        <v>47</v>
      </c>
      <c r="U10" s="2"/>
    </row>
    <row r="11" spans="1:21" ht="27.6">
      <c r="A11" s="2" t="s">
        <v>186</v>
      </c>
      <c r="B11" s="2" t="s">
        <v>132</v>
      </c>
      <c r="C11" s="2" t="s">
        <v>193</v>
      </c>
      <c r="D11" s="2" t="s">
        <v>158</v>
      </c>
      <c r="E11" s="2" t="s">
        <v>159</v>
      </c>
      <c r="F11" s="2">
        <v>45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 t="s">
        <v>136</v>
      </c>
      <c r="N11" s="2">
        <f t="shared" si="0"/>
        <v>1</v>
      </c>
      <c r="O11" s="2">
        <f t="shared" si="1"/>
        <v>1</v>
      </c>
      <c r="P11" s="2">
        <f t="shared" si="2"/>
        <v>0</v>
      </c>
      <c r="Q11" s="2">
        <f t="shared" si="3"/>
        <v>0</v>
      </c>
      <c r="R11" s="2"/>
      <c r="S11" s="2" t="s">
        <v>160</v>
      </c>
      <c r="T11" s="2" t="s">
        <v>47</v>
      </c>
      <c r="U11" s="2"/>
    </row>
    <row r="12" spans="1:21" ht="41.4">
      <c r="A12" s="2" t="s">
        <v>186</v>
      </c>
      <c r="B12" s="2" t="s">
        <v>132</v>
      </c>
      <c r="C12" s="2" t="s">
        <v>194</v>
      </c>
      <c r="D12" s="2" t="s">
        <v>162</v>
      </c>
      <c r="E12" s="2" t="s">
        <v>163</v>
      </c>
      <c r="F12" s="2">
        <v>30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 t="s">
        <v>136</v>
      </c>
      <c r="N12" s="2">
        <f t="shared" si="0"/>
        <v>1</v>
      </c>
      <c r="O12" s="2">
        <f t="shared" si="1"/>
        <v>1</v>
      </c>
      <c r="P12" s="2">
        <f t="shared" si="2"/>
        <v>0</v>
      </c>
      <c r="Q12" s="2">
        <f t="shared" si="3"/>
        <v>0</v>
      </c>
      <c r="R12" s="2"/>
      <c r="S12" s="2" t="s">
        <v>164</v>
      </c>
      <c r="T12" s="2" t="s">
        <v>47</v>
      </c>
      <c r="U12" s="2"/>
    </row>
    <row r="13" spans="1:21" ht="41.4">
      <c r="A13" s="2" t="s">
        <v>186</v>
      </c>
      <c r="B13" s="2" t="s">
        <v>132</v>
      </c>
      <c r="C13" s="2" t="s">
        <v>195</v>
      </c>
      <c r="D13" s="2" t="s">
        <v>166</v>
      </c>
      <c r="E13" s="2" t="s">
        <v>167</v>
      </c>
      <c r="F13" s="2">
        <v>80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 t="s">
        <v>136</v>
      </c>
      <c r="N13" s="2">
        <f t="shared" si="0"/>
        <v>1</v>
      </c>
      <c r="O13" s="2">
        <f t="shared" si="1"/>
        <v>1</v>
      </c>
      <c r="P13" s="2">
        <f t="shared" si="2"/>
        <v>0</v>
      </c>
      <c r="Q13" s="2">
        <f t="shared" si="3"/>
        <v>0</v>
      </c>
      <c r="R13" s="2"/>
      <c r="S13" s="2" t="s">
        <v>168</v>
      </c>
      <c r="T13" s="2" t="s">
        <v>47</v>
      </c>
      <c r="U13" s="2"/>
    </row>
    <row r="14" spans="1:21" ht="27.6">
      <c r="A14" s="2" t="s">
        <v>186</v>
      </c>
      <c r="B14" s="2" t="s">
        <v>132</v>
      </c>
      <c r="C14" s="2" t="s">
        <v>196</v>
      </c>
      <c r="D14" s="2" t="s">
        <v>170</v>
      </c>
      <c r="E14" s="2" t="s">
        <v>171</v>
      </c>
      <c r="F14" s="2">
        <v>50</v>
      </c>
      <c r="G14" s="2">
        <v>1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 t="s">
        <v>136</v>
      </c>
      <c r="N14" s="2">
        <f t="shared" si="0"/>
        <v>1</v>
      </c>
      <c r="O14" s="2">
        <f t="shared" si="1"/>
        <v>1</v>
      </c>
      <c r="P14" s="2">
        <f t="shared" si="2"/>
        <v>1</v>
      </c>
      <c r="Q14" s="2">
        <f t="shared" si="3"/>
        <v>1</v>
      </c>
      <c r="R14" s="2"/>
      <c r="S14" s="2" t="s">
        <v>172</v>
      </c>
      <c r="T14" s="2" t="s">
        <v>47</v>
      </c>
      <c r="U14" s="2"/>
    </row>
    <row r="15" spans="1:21" ht="27.6">
      <c r="A15" s="2" t="s">
        <v>186</v>
      </c>
      <c r="B15" s="2" t="s">
        <v>173</v>
      </c>
      <c r="C15" s="2" t="s">
        <v>197</v>
      </c>
      <c r="D15" s="2" t="s">
        <v>175</v>
      </c>
      <c r="E15" s="2" t="s">
        <v>141</v>
      </c>
      <c r="F15" s="2">
        <v>100</v>
      </c>
      <c r="G15" s="2">
        <v>0</v>
      </c>
      <c r="H15" s="2">
        <v>2</v>
      </c>
      <c r="I15" s="2">
        <v>1</v>
      </c>
      <c r="J15" s="2">
        <v>0</v>
      </c>
      <c r="K15" s="2">
        <v>0</v>
      </c>
      <c r="L15" s="2">
        <v>0</v>
      </c>
      <c r="M15" s="2" t="s">
        <v>136</v>
      </c>
      <c r="N15" s="2">
        <f t="shared" si="0"/>
        <v>3</v>
      </c>
      <c r="O15" s="2">
        <f t="shared" si="1"/>
        <v>3</v>
      </c>
      <c r="P15" s="2">
        <f t="shared" si="2"/>
        <v>0</v>
      </c>
      <c r="Q15" s="2">
        <f t="shared" si="3"/>
        <v>0</v>
      </c>
      <c r="R15" s="2"/>
      <c r="S15" s="2" t="s">
        <v>142</v>
      </c>
      <c r="T15" s="2" t="s">
        <v>47</v>
      </c>
      <c r="U15" s="2"/>
    </row>
    <row r="16" spans="1:21" ht="41.4">
      <c r="A16" s="2" t="s">
        <v>186</v>
      </c>
      <c r="B16" s="2" t="s">
        <v>173</v>
      </c>
      <c r="C16" s="2" t="s">
        <v>198</v>
      </c>
      <c r="D16" s="2" t="s">
        <v>177</v>
      </c>
      <c r="E16" s="2" t="s">
        <v>178</v>
      </c>
      <c r="F16" s="2">
        <v>180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1</v>
      </c>
      <c r="M16" s="2" t="s">
        <v>136</v>
      </c>
      <c r="N16" s="2">
        <f t="shared" si="0"/>
        <v>1</v>
      </c>
      <c r="O16" s="2">
        <f t="shared" si="1"/>
        <v>1</v>
      </c>
      <c r="P16" s="2">
        <f t="shared" si="2"/>
        <v>0</v>
      </c>
      <c r="Q16" s="2">
        <f t="shared" si="3"/>
        <v>0</v>
      </c>
      <c r="R16" s="2"/>
      <c r="S16" s="2" t="s">
        <v>179</v>
      </c>
      <c r="T16" s="2" t="s">
        <v>47</v>
      </c>
      <c r="U16" s="2"/>
    </row>
    <row r="17" spans="1:21" ht="27.6">
      <c r="A17" s="2" t="s">
        <v>186</v>
      </c>
      <c r="B17" s="2" t="s">
        <v>173</v>
      </c>
      <c r="C17" s="2" t="s">
        <v>199</v>
      </c>
      <c r="D17" s="2" t="s">
        <v>181</v>
      </c>
      <c r="E17" s="2" t="s">
        <v>182</v>
      </c>
      <c r="F17" s="2">
        <v>70</v>
      </c>
      <c r="G17" s="2">
        <v>2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 t="s">
        <v>136</v>
      </c>
      <c r="N17" s="2">
        <f t="shared" si="0"/>
        <v>2</v>
      </c>
      <c r="O17" s="2">
        <f t="shared" si="1"/>
        <v>2</v>
      </c>
      <c r="P17" s="2">
        <f t="shared" si="2"/>
        <v>2</v>
      </c>
      <c r="Q17" s="2">
        <f t="shared" si="3"/>
        <v>2</v>
      </c>
      <c r="R17" s="2"/>
      <c r="S17" s="2" t="s">
        <v>183</v>
      </c>
      <c r="T17" s="2" t="s">
        <v>47</v>
      </c>
      <c r="U17" s="2"/>
    </row>
    <row r="18" spans="1:2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>
      <c r="A19" s="16" t="s">
        <v>184</v>
      </c>
      <c r="B19" s="16"/>
      <c r="C19" s="16"/>
      <c r="D19" s="16"/>
      <c r="E19" s="16"/>
      <c r="F19" s="16">
        <f t="shared" ref="F19:L19" si="4">SUM(F5:F17)</f>
        <v>1215</v>
      </c>
      <c r="G19" s="16">
        <f t="shared" si="4"/>
        <v>7</v>
      </c>
      <c r="H19" s="16">
        <f t="shared" si="4"/>
        <v>4</v>
      </c>
      <c r="I19" s="16">
        <f t="shared" si="4"/>
        <v>2</v>
      </c>
      <c r="J19" s="16">
        <f t="shared" si="4"/>
        <v>0</v>
      </c>
      <c r="K19" s="16">
        <f t="shared" si="4"/>
        <v>8</v>
      </c>
      <c r="L19" s="16">
        <f t="shared" si="4"/>
        <v>2</v>
      </c>
      <c r="M19" s="16"/>
      <c r="N19" s="7">
        <f>SUM(N5:N17)</f>
        <v>27</v>
      </c>
      <c r="O19" s="7">
        <f>SUM(O5:O17)</f>
        <v>27</v>
      </c>
      <c r="P19" s="7">
        <f>SUM(P5:P17)</f>
        <v>7</v>
      </c>
      <c r="Q19" s="7">
        <f>SUM(Q5:Q17)</f>
        <v>7</v>
      </c>
      <c r="R19" s="7"/>
      <c r="S19" s="7"/>
      <c r="T19" s="7"/>
      <c r="U19" s="7"/>
    </row>
  </sheetData>
  <mergeCells count="3">
    <mergeCell ref="A1:U1"/>
    <mergeCell ref="A2:U2"/>
    <mergeCell ref="A19:M19"/>
  </mergeCells>
  <conditionalFormatting sqref="T5:T38">
    <cfRule type="expression" dxfId="1" priority="1">
      <formula>T5="Needs design"</formula>
    </cfRule>
    <cfRule type="expression" dxfId="0" priority="2">
      <formula>T5="Compliant"</formula>
    </cfRule>
  </conditionalFormatting>
  <dataValidations count="3">
    <dataValidation type="list" sqref="E5:E38" xr:uid="{00000000-0002-0000-0300-000000000000}">
      <formula1>"Lobby,Corridor,Stair,Exit lobby,Office,Room,Plant room,Toilets,Storage,Reception / First aid,External egress,Carpark,Other"</formula1>
    </dataValidation>
    <dataValidation type="list" sqref="M5:M38" xr:uid="{00000000-0002-0000-0300-000001000000}">
      <formula1>"No,Yes"</formula1>
    </dataValidation>
    <dataValidation type="list" sqref="T5:T38" xr:uid="{00000000-0002-0000-0300-000002000000}">
      <formula1>"To check,Compliant,Needs design,Not applicable,Installed,Missing info"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4"/>
  <sheetViews>
    <sheetView workbookViewId="0">
      <selection sqref="A1:H1"/>
    </sheetView>
  </sheetViews>
  <sheetFormatPr defaultRowHeight="13.8"/>
  <cols>
    <col min="1" max="1" width="16" customWidth="1"/>
    <col min="2" max="8" width="18" customWidth="1"/>
  </cols>
  <sheetData>
    <row r="1" spans="1:8" ht="17.399999999999999">
      <c r="A1" s="11" t="s">
        <v>200</v>
      </c>
      <c r="B1" s="11"/>
      <c r="C1" s="11"/>
      <c r="D1" s="11"/>
      <c r="E1" s="11"/>
      <c r="F1" s="11"/>
      <c r="G1" s="11"/>
      <c r="H1" s="11"/>
    </row>
    <row r="3" spans="1:8" ht="27.6">
      <c r="A3" s="9" t="s">
        <v>110</v>
      </c>
      <c r="B3" s="9" t="s">
        <v>201</v>
      </c>
      <c r="C3" s="9" t="s">
        <v>124</v>
      </c>
      <c r="D3" s="9" t="s">
        <v>202</v>
      </c>
      <c r="E3" s="9" t="s">
        <v>126</v>
      </c>
      <c r="F3" s="9" t="s">
        <v>203</v>
      </c>
      <c r="G3" s="9" t="s">
        <v>204</v>
      </c>
      <c r="H3" s="9" t="s">
        <v>205</v>
      </c>
    </row>
    <row r="4" spans="1:8">
      <c r="A4" t="s">
        <v>24</v>
      </c>
      <c r="B4">
        <f>'Building A'!N19</f>
        <v>27</v>
      </c>
      <c r="C4">
        <f>'Building A'!O19</f>
        <v>27</v>
      </c>
      <c r="D4">
        <f>'Building A'!P19</f>
        <v>7</v>
      </c>
      <c r="E4">
        <f>'Building A'!Q19</f>
        <v>7</v>
      </c>
      <c r="F4">
        <f>COUNTA('Building A'!C5:C17)</f>
        <v>13</v>
      </c>
      <c r="G4">
        <f>COUNTIF('Building A'!T5:T17,"To check")+COUNTIF('Building A'!T5:T17,"Needs design")+COUNTIF('Building A'!T5:T17,"Missing info")</f>
        <v>13</v>
      </c>
      <c r="H4" t="s">
        <v>206</v>
      </c>
    </row>
    <row r="5" spans="1:8">
      <c r="A5" t="s">
        <v>26</v>
      </c>
      <c r="B5">
        <f>'Building B'!N19</f>
        <v>27</v>
      </c>
      <c r="C5">
        <f>'Building B'!O19</f>
        <v>27</v>
      </c>
      <c r="D5">
        <f>'Building B'!P19</f>
        <v>7</v>
      </c>
      <c r="E5">
        <f>'Building B'!Q19</f>
        <v>7</v>
      </c>
      <c r="F5">
        <f>COUNTA('Building B'!C5:C17)</f>
        <v>13</v>
      </c>
      <c r="G5">
        <f>COUNTIF('Building B'!T5:T17,"To check")+COUNTIF('Building B'!T5:T17,"Needs design")+COUNTIF('Building B'!T5:T17,"Missing info")</f>
        <v>13</v>
      </c>
      <c r="H5" t="s">
        <v>207</v>
      </c>
    </row>
    <row r="6" spans="1:8">
      <c r="A6" s="6" t="s">
        <v>184</v>
      </c>
      <c r="B6" s="6">
        <f t="shared" ref="B6:G6" si="0">SUM(B4:B5)</f>
        <v>54</v>
      </c>
      <c r="C6" s="6">
        <f t="shared" si="0"/>
        <v>54</v>
      </c>
      <c r="D6" s="6">
        <f t="shared" si="0"/>
        <v>14</v>
      </c>
      <c r="E6" s="6">
        <f t="shared" si="0"/>
        <v>14</v>
      </c>
      <c r="F6" s="6">
        <f t="shared" si="0"/>
        <v>26</v>
      </c>
      <c r="G6" s="6">
        <f t="shared" si="0"/>
        <v>26</v>
      </c>
      <c r="H6" s="6"/>
    </row>
    <row r="8" spans="1:8">
      <c r="A8" s="18" t="s">
        <v>208</v>
      </c>
      <c r="B8" s="18"/>
      <c r="C8" s="18"/>
      <c r="D8" s="18"/>
      <c r="E8" s="18"/>
      <c r="F8" s="18"/>
      <c r="G8" s="18"/>
      <c r="H8" s="18"/>
    </row>
    <row r="9" spans="1:8" ht="124.2">
      <c r="A9" s="2" t="s">
        <v>173</v>
      </c>
      <c r="B9" s="2" t="s">
        <v>209</v>
      </c>
      <c r="C9" s="2"/>
      <c r="D9" s="2"/>
      <c r="E9" s="2"/>
      <c r="F9" s="2"/>
      <c r="G9" s="2"/>
      <c r="H9" s="2"/>
    </row>
    <row r="10" spans="1:8" ht="110.4">
      <c r="A10" s="2" t="s">
        <v>210</v>
      </c>
      <c r="B10" s="2" t="s">
        <v>211</v>
      </c>
      <c r="C10" s="2"/>
      <c r="D10" s="2"/>
      <c r="E10" s="2"/>
      <c r="F10" s="2"/>
      <c r="G10" s="2"/>
      <c r="H10" s="2"/>
    </row>
    <row r="11" spans="1:8" ht="124.2">
      <c r="A11" s="2" t="s">
        <v>212</v>
      </c>
      <c r="B11" s="2" t="s">
        <v>213</v>
      </c>
      <c r="C11" s="2"/>
      <c r="D11" s="2"/>
      <c r="E11" s="2"/>
      <c r="F11" s="2"/>
      <c r="G11" s="2"/>
      <c r="H11" s="2"/>
    </row>
    <row r="12" spans="1:8" ht="110.4">
      <c r="A12" s="2" t="s">
        <v>214</v>
      </c>
      <c r="B12" s="2" t="s">
        <v>215</v>
      </c>
      <c r="C12" s="2"/>
      <c r="D12" s="2"/>
      <c r="E12" s="2"/>
      <c r="F12" s="2"/>
      <c r="G12" s="2"/>
      <c r="H12" s="2"/>
    </row>
    <row r="13" spans="1:8" ht="96.6">
      <c r="A13" s="2" t="s">
        <v>216</v>
      </c>
      <c r="B13" s="2" t="s">
        <v>217</v>
      </c>
      <c r="C13" s="2"/>
      <c r="D13" s="2"/>
      <c r="E13" s="2"/>
      <c r="F13" s="2"/>
      <c r="G13" s="2"/>
      <c r="H13" s="2"/>
    </row>
    <row r="14" spans="1:8" ht="69">
      <c r="A14" s="2" t="s">
        <v>218</v>
      </c>
      <c r="B14" s="2" t="s">
        <v>219</v>
      </c>
      <c r="C14" s="2"/>
      <c r="D14" s="2"/>
      <c r="E14" s="2"/>
      <c r="F14" s="2"/>
      <c r="G14" s="2"/>
      <c r="H14" s="2"/>
    </row>
  </sheetData>
  <mergeCells count="2">
    <mergeCell ref="A1:H1"/>
    <mergeCell ref="A8:H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4"/>
  <sheetViews>
    <sheetView workbookViewId="0"/>
  </sheetViews>
  <sheetFormatPr defaultRowHeight="13.8"/>
  <cols>
    <col min="1" max="1" width="43.296875" customWidth="1"/>
    <col min="2" max="2" width="38.09765625" customWidth="1"/>
    <col min="3" max="3" width="45" customWidth="1"/>
    <col min="4" max="4" width="28" customWidth="1"/>
    <col min="5" max="5" width="19.19921875" customWidth="1"/>
    <col min="6" max="6" width="35" customWidth="1"/>
    <col min="7" max="7" width="5" customWidth="1"/>
  </cols>
  <sheetData>
    <row r="1" spans="1:7" ht="17.399999999999999">
      <c r="A1" s="19" t="s">
        <v>220</v>
      </c>
      <c r="B1" s="19"/>
      <c r="C1" s="19"/>
      <c r="D1" s="19"/>
      <c r="E1" s="19"/>
      <c r="F1" s="19"/>
      <c r="G1" s="19"/>
    </row>
    <row r="3" spans="1:7" ht="27.6">
      <c r="A3" s="3" t="s">
        <v>221</v>
      </c>
      <c r="B3" s="3" t="s">
        <v>35</v>
      </c>
      <c r="C3" s="3" t="s">
        <v>222</v>
      </c>
      <c r="D3" s="3" t="s">
        <v>223</v>
      </c>
      <c r="E3" s="3" t="s">
        <v>39</v>
      </c>
      <c r="F3" s="3" t="s">
        <v>40</v>
      </c>
      <c r="G3" s="3" t="s">
        <v>224</v>
      </c>
    </row>
    <row r="4" spans="1:7" ht="27.6">
      <c r="A4" s="2" t="s">
        <v>225</v>
      </c>
      <c r="B4" s="2" t="s">
        <v>226</v>
      </c>
      <c r="C4" s="2" t="s">
        <v>227</v>
      </c>
      <c r="D4" s="2" t="s">
        <v>228</v>
      </c>
      <c r="E4" s="2" t="s">
        <v>229</v>
      </c>
      <c r="F4" s="2" t="s">
        <v>230</v>
      </c>
      <c r="G4" s="2" t="s">
        <v>231</v>
      </c>
    </row>
    <row r="5" spans="1:7" ht="27.6">
      <c r="A5" s="2" t="s">
        <v>225</v>
      </c>
      <c r="B5" s="2" t="s">
        <v>232</v>
      </c>
      <c r="C5" s="2" t="s">
        <v>233</v>
      </c>
      <c r="D5" s="2" t="s">
        <v>234</v>
      </c>
      <c r="E5" s="2" t="s">
        <v>229</v>
      </c>
      <c r="F5" s="2" t="s">
        <v>235</v>
      </c>
      <c r="G5" s="2" t="s">
        <v>231</v>
      </c>
    </row>
    <row r="6" spans="1:7" ht="27.6">
      <c r="A6" s="2" t="s">
        <v>225</v>
      </c>
      <c r="B6" s="2" t="s">
        <v>236</v>
      </c>
      <c r="C6" s="2" t="s">
        <v>237</v>
      </c>
      <c r="D6" s="2" t="s">
        <v>228</v>
      </c>
      <c r="E6" s="2" t="s">
        <v>229</v>
      </c>
      <c r="F6" s="2" t="s">
        <v>238</v>
      </c>
      <c r="G6" s="2" t="s">
        <v>231</v>
      </c>
    </row>
    <row r="7" spans="1:7" ht="27.6">
      <c r="A7" s="2" t="s">
        <v>225</v>
      </c>
      <c r="B7" s="2" t="s">
        <v>239</v>
      </c>
      <c r="C7" s="2" t="s">
        <v>240</v>
      </c>
      <c r="D7" s="2" t="s">
        <v>241</v>
      </c>
      <c r="E7" s="2" t="s">
        <v>229</v>
      </c>
      <c r="F7" s="2" t="s">
        <v>242</v>
      </c>
      <c r="G7" s="2" t="s">
        <v>231</v>
      </c>
    </row>
    <row r="8" spans="1:7" ht="27.6">
      <c r="A8" s="2" t="s">
        <v>243</v>
      </c>
      <c r="B8" s="2" t="s">
        <v>244</v>
      </c>
      <c r="C8" s="2" t="s">
        <v>245</v>
      </c>
      <c r="D8" s="2" t="s">
        <v>246</v>
      </c>
      <c r="E8" s="2" t="s">
        <v>247</v>
      </c>
      <c r="F8" s="2" t="s">
        <v>248</v>
      </c>
      <c r="G8" s="2" t="s">
        <v>231</v>
      </c>
    </row>
    <row r="9" spans="1:7" ht="27.6">
      <c r="A9" s="2" t="s">
        <v>243</v>
      </c>
      <c r="B9" s="2" t="s">
        <v>249</v>
      </c>
      <c r="C9" s="2" t="s">
        <v>250</v>
      </c>
      <c r="D9" s="2" t="s">
        <v>251</v>
      </c>
      <c r="E9" s="2" t="s">
        <v>252</v>
      </c>
      <c r="F9" s="2" t="s">
        <v>253</v>
      </c>
      <c r="G9" s="2" t="s">
        <v>231</v>
      </c>
    </row>
    <row r="10" spans="1:7" ht="27.6">
      <c r="A10" s="2" t="s">
        <v>243</v>
      </c>
      <c r="B10" s="2" t="s">
        <v>254</v>
      </c>
      <c r="C10" s="2" t="s">
        <v>255</v>
      </c>
      <c r="D10" s="2" t="s">
        <v>256</v>
      </c>
      <c r="E10" s="2" t="s">
        <v>229</v>
      </c>
      <c r="F10" s="2" t="s">
        <v>257</v>
      </c>
      <c r="G10" s="2" t="s">
        <v>231</v>
      </c>
    </row>
    <row r="11" spans="1:7" ht="27.6">
      <c r="A11" s="2" t="s">
        <v>243</v>
      </c>
      <c r="B11" s="2" t="s">
        <v>258</v>
      </c>
      <c r="C11" s="2" t="s">
        <v>259</v>
      </c>
      <c r="D11" s="2" t="s">
        <v>246</v>
      </c>
      <c r="E11" s="2" t="s">
        <v>229</v>
      </c>
      <c r="F11" s="2" t="s">
        <v>260</v>
      </c>
      <c r="G11" s="2" t="s">
        <v>231</v>
      </c>
    </row>
    <row r="12" spans="1:7" ht="27.6">
      <c r="A12" s="2" t="s">
        <v>243</v>
      </c>
      <c r="B12" s="2" t="s">
        <v>261</v>
      </c>
      <c r="C12" s="2" t="s">
        <v>262</v>
      </c>
      <c r="D12" s="2" t="s">
        <v>246</v>
      </c>
      <c r="E12" s="2" t="s">
        <v>229</v>
      </c>
      <c r="F12" s="2" t="s">
        <v>263</v>
      </c>
      <c r="G12" s="2" t="s">
        <v>231</v>
      </c>
    </row>
    <row r="13" spans="1:7" ht="27.6">
      <c r="A13" s="2" t="s">
        <v>264</v>
      </c>
      <c r="B13" s="2" t="s">
        <v>265</v>
      </c>
      <c r="C13" s="2" t="s">
        <v>266</v>
      </c>
      <c r="D13" s="2" t="s">
        <v>267</v>
      </c>
      <c r="E13" s="2" t="s">
        <v>229</v>
      </c>
      <c r="F13" s="2" t="s">
        <v>107</v>
      </c>
      <c r="G13" s="2" t="s">
        <v>231</v>
      </c>
    </row>
    <row r="14" spans="1:7" ht="27.6">
      <c r="A14" s="2" t="s">
        <v>264</v>
      </c>
      <c r="B14" s="2" t="s">
        <v>268</v>
      </c>
      <c r="C14" s="2" t="s">
        <v>269</v>
      </c>
      <c r="D14" s="2" t="s">
        <v>270</v>
      </c>
      <c r="E14" s="2" t="s">
        <v>229</v>
      </c>
      <c r="F14" s="2" t="s">
        <v>271</v>
      </c>
      <c r="G14" s="2" t="s">
        <v>231</v>
      </c>
    </row>
    <row r="15" spans="1:7">
      <c r="A15" s="2"/>
      <c r="B15" s="2"/>
      <c r="C15" s="2"/>
      <c r="D15" s="2"/>
      <c r="E15" s="2"/>
      <c r="F15" s="2"/>
      <c r="G15" s="2"/>
    </row>
    <row r="16" spans="1:7">
      <c r="A16" s="2"/>
      <c r="B16" s="2"/>
      <c r="C16" s="2"/>
      <c r="D16" s="2"/>
      <c r="E16" s="2"/>
      <c r="F16" s="2"/>
      <c r="G16" s="2"/>
    </row>
    <row r="17" spans="1:7">
      <c r="A17" s="2"/>
      <c r="B17" s="2"/>
      <c r="C17" s="2"/>
      <c r="D17" s="2"/>
      <c r="E17" s="2"/>
      <c r="F17" s="2"/>
      <c r="G17" s="2"/>
    </row>
    <row r="18" spans="1:7">
      <c r="A18" s="2"/>
      <c r="B18" s="2"/>
      <c r="C18" s="2"/>
      <c r="D18" s="2"/>
      <c r="E18" s="2"/>
      <c r="F18" s="2"/>
      <c r="G18" s="2"/>
    </row>
    <row r="19" spans="1:7">
      <c r="A19" s="2"/>
      <c r="B19" s="2"/>
      <c r="C19" s="2"/>
      <c r="D19" s="2"/>
      <c r="E19" s="2"/>
      <c r="F19" s="2"/>
      <c r="G19" s="2"/>
    </row>
    <row r="20" spans="1:7">
      <c r="A20" s="2"/>
      <c r="B20" s="2"/>
      <c r="C20" s="2"/>
      <c r="D20" s="2"/>
      <c r="E20" s="2"/>
      <c r="F20" s="2"/>
      <c r="G20" s="2"/>
    </row>
    <row r="21" spans="1:7">
      <c r="A21" s="2"/>
      <c r="B21" s="2"/>
      <c r="C21" s="2"/>
      <c r="D21" s="2"/>
      <c r="E21" s="2"/>
      <c r="F21" s="2"/>
      <c r="G21" s="2"/>
    </row>
    <row r="22" spans="1:7">
      <c r="A22" s="2"/>
      <c r="B22" s="2"/>
      <c r="C22" s="2"/>
      <c r="D22" s="2"/>
      <c r="E22" s="2"/>
      <c r="F22" s="2"/>
      <c r="G22" s="2"/>
    </row>
    <row r="23" spans="1:7">
      <c r="A23" s="2"/>
      <c r="B23" s="2"/>
      <c r="C23" s="2"/>
      <c r="D23" s="2"/>
      <c r="E23" s="2"/>
      <c r="F23" s="2"/>
      <c r="G23" s="2"/>
    </row>
    <row r="24" spans="1:7">
      <c r="A24" s="2"/>
      <c r="B24" s="2"/>
      <c r="C24" s="2"/>
      <c r="D24" s="2"/>
      <c r="E24" s="2"/>
      <c r="F24" s="2"/>
      <c r="G24" s="2"/>
    </row>
    <row r="25" spans="1:7">
      <c r="A25" s="2"/>
      <c r="B25" s="2"/>
      <c r="C25" s="2"/>
      <c r="D25" s="2"/>
      <c r="E25" s="2"/>
      <c r="F25" s="2"/>
      <c r="G25" s="2"/>
    </row>
    <row r="26" spans="1:7">
      <c r="A26" s="2"/>
      <c r="B26" s="2"/>
      <c r="C26" s="2"/>
      <c r="D26" s="2"/>
      <c r="E26" s="2"/>
      <c r="F26" s="2"/>
      <c r="G26" s="2"/>
    </row>
    <row r="27" spans="1:7">
      <c r="A27" s="2"/>
      <c r="B27" s="2"/>
      <c r="C27" s="2"/>
      <c r="D27" s="2"/>
      <c r="E27" s="2"/>
      <c r="F27" s="2"/>
      <c r="G27" s="2"/>
    </row>
    <row r="28" spans="1:7">
      <c r="A28" s="2"/>
      <c r="B28" s="2"/>
      <c r="C28" s="2"/>
      <c r="D28" s="2"/>
      <c r="E28" s="2"/>
      <c r="F28" s="2"/>
      <c r="G28" s="2"/>
    </row>
    <row r="29" spans="1:7">
      <c r="A29" s="2"/>
      <c r="B29" s="2"/>
      <c r="C29" s="2"/>
      <c r="D29" s="2"/>
      <c r="E29" s="2"/>
      <c r="F29" s="2"/>
      <c r="G29" s="2"/>
    </row>
    <row r="30" spans="1:7">
      <c r="A30" s="2"/>
      <c r="B30" s="2"/>
      <c r="C30" s="2"/>
      <c r="D30" s="2"/>
      <c r="E30" s="2"/>
      <c r="F30" s="2"/>
      <c r="G30" s="2"/>
    </row>
    <row r="31" spans="1:7">
      <c r="A31" s="2"/>
      <c r="B31" s="2"/>
      <c r="C31" s="2"/>
      <c r="D31" s="2"/>
      <c r="E31" s="2"/>
      <c r="F31" s="2"/>
      <c r="G31" s="2"/>
    </row>
    <row r="32" spans="1:7">
      <c r="A32" s="2"/>
      <c r="B32" s="2"/>
      <c r="C32" s="2"/>
      <c r="D32" s="2"/>
      <c r="E32" s="2"/>
      <c r="F32" s="2"/>
      <c r="G32" s="2"/>
    </row>
    <row r="33" spans="1:7">
      <c r="A33" s="2"/>
      <c r="B33" s="2"/>
      <c r="C33" s="2"/>
      <c r="D33" s="2"/>
      <c r="E33" s="2"/>
      <c r="F33" s="2"/>
      <c r="G33" s="2"/>
    </row>
    <row r="34" spans="1:7">
      <c r="A34" s="2"/>
      <c r="B34" s="2"/>
      <c r="C34" s="2"/>
      <c r="D34" s="2"/>
      <c r="E34" s="2"/>
      <c r="F34" s="2"/>
      <c r="G34" s="2"/>
    </row>
  </sheetData>
  <mergeCells count="1">
    <mergeCell ref="A1:G1"/>
  </mergeCells>
  <dataValidations count="1">
    <dataValidation type="list" sqref="G1" xr:uid="{00000000-0002-0000-0500-000000000000}">
      <formula1>"To do,Done,Not applicable,Defect found"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7"/>
  <sheetViews>
    <sheetView workbookViewId="0"/>
  </sheetViews>
  <sheetFormatPr defaultRowHeight="13.8"/>
  <cols>
    <col min="1" max="1" width="42.69921875" customWidth="1"/>
    <col min="2" max="2" width="44.09765625" customWidth="1"/>
    <col min="3" max="3" width="38" customWidth="1"/>
    <col min="4" max="5" width="45" customWidth="1"/>
  </cols>
  <sheetData>
    <row r="1" spans="1:5" ht="17.399999999999999">
      <c r="A1" s="20" t="s">
        <v>272</v>
      </c>
      <c r="B1" s="20"/>
      <c r="C1" s="20"/>
      <c r="D1" s="20"/>
      <c r="E1" s="20"/>
    </row>
    <row r="3" spans="1:5">
      <c r="A3" s="10" t="s">
        <v>273</v>
      </c>
      <c r="B3" s="10" t="s">
        <v>274</v>
      </c>
      <c r="C3" s="10" t="s">
        <v>275</v>
      </c>
      <c r="D3" s="10" t="s">
        <v>205</v>
      </c>
      <c r="E3" s="10" t="s">
        <v>276</v>
      </c>
    </row>
    <row r="4" spans="1:5" ht="27.6">
      <c r="A4" s="2" t="s">
        <v>277</v>
      </c>
      <c r="B4" s="2" t="s">
        <v>278</v>
      </c>
      <c r="C4" s="2" t="s">
        <v>279</v>
      </c>
      <c r="D4" s="2" t="s">
        <v>280</v>
      </c>
      <c r="E4" s="2" t="s">
        <v>281</v>
      </c>
    </row>
    <row r="5" spans="1:5" ht="27.6">
      <c r="A5" s="2" t="s">
        <v>282</v>
      </c>
      <c r="B5" s="2" t="s">
        <v>283</v>
      </c>
      <c r="C5" s="2" t="s">
        <v>284</v>
      </c>
      <c r="D5" s="2" t="s">
        <v>285</v>
      </c>
      <c r="E5" s="2" t="s">
        <v>286</v>
      </c>
    </row>
    <row r="6" spans="1:5" ht="27.6">
      <c r="A6" s="2" t="s">
        <v>287</v>
      </c>
      <c r="B6" s="2" t="s">
        <v>288</v>
      </c>
      <c r="C6" s="2" t="s">
        <v>289</v>
      </c>
      <c r="D6" s="2" t="s">
        <v>290</v>
      </c>
      <c r="E6" s="2" t="s">
        <v>291</v>
      </c>
    </row>
    <row r="7" spans="1:5" ht="55.2">
      <c r="A7" s="2" t="s">
        <v>292</v>
      </c>
      <c r="B7" s="2" t="s">
        <v>293</v>
      </c>
      <c r="C7" s="2" t="s">
        <v>294</v>
      </c>
      <c r="D7" s="2" t="s">
        <v>295</v>
      </c>
      <c r="E7" s="2" t="s">
        <v>296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Requirements</vt:lpstr>
      <vt:lpstr>Building A</vt:lpstr>
      <vt:lpstr>Building B</vt:lpstr>
      <vt:lpstr>Take-off Summary</vt:lpstr>
      <vt:lpstr>Maintenance</vt:lpstr>
      <vt:lpstr>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Mingze Sun</cp:lastModifiedBy>
  <dcterms:created xsi:type="dcterms:W3CDTF">2026-05-19T03:30:18Z</dcterms:created>
  <dcterms:modified xsi:type="dcterms:W3CDTF">2026-05-19T03:30:56Z</dcterms:modified>
</cp:coreProperties>
</file>