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552230D9-DEFF-44A5-950C-B17A023E316B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Building A" sheetId="1" r:id="rId1"/>
    <sheet name="Building B" sheetId="2" r:id="rId2"/>
    <sheet name="Building B - First Floor" sheetId="4" r:id="rId3"/>
    <sheet name="Referenc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<sst xmlns="http://schemas.openxmlformats.org/spreadsheetml/2006/main" count="1087" uniqueCount="212">
  <si>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</si>
  <si>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</si>
  <si>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</si>
  <si>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</si>
  <si>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</si>
  <si>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</si>
  <si>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</si>
  <si>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</si>
  <si>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</si>
  <si>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</si>
  <si>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</si>
  <si>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</si>
  <si>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</si>
  <si>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</si>
  <si>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</si>
  <si>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</si>
  <si>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</si>
  <si>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</si>
  <si>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</si>
  <si>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</si>
  <si>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</si>
  <si>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</si>
  <si>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</si>
  <si>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</si>
  <si>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</si>
  <si>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</si>
  <si>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</si>
  <si>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</si>
  <si>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</si>
  <si>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</si>
  <si>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</si>
  <si>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</si>
  <si>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</si>
  <si>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</si>
  <si>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</si>
  <si>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</si>
  <si>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</si>
  <si>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</si>
  <si>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</si>
  <si>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</si>
  <si>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</si>
  <si>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</si>
  <si>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</si>
  <si>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</si>
  <si>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</si>
  <si>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</si>
  <si>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</si>
  <si>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</si>
  <si>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</si>
  <si>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</si>
  <si>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</si>
  <si>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</si>
  <si>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</si>
  <si>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</si>
  <si>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</si>
  <si>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</si>
  <si>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</si>
  <si>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</si>
  <si>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</si>
  <si>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</si>
  <si>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</si>
  <si>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</si>
  <si>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</si>
  <si>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</si>
  <si>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</si>
  <si>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</si>
  <si>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</si>
  <si>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</si>
  <si>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</si>
  <si>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</si>
  <si>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</si>
  <si>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</si>
  <si>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</si>
  <si>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</si>
  <si>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</si>
  <si>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</si>
  <si>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</si>
  <si>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</si>
  <si>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</si>
  <si>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</si>
  <si>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</si>
  <si>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</si>
  <si>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</si>
  <si>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</si>
  <si>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</si>
  <si>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</si>
  <si>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</si>
  <si>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</si>
  <si>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</si>
  <si>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</si>
  <si>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</si>
  <si>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</si>
  <si>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</si>
  <si>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</si>
  <si>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</si>
  <si>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</si>
  <si>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</si>
  <si>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</si>
  <si>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</si>
  <si>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</si>
  <si>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</si>
  <si>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</si>
  <si>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</si>
  <si>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</si>
  <si>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</si>
  <si>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</si>
  <si>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</si>
  <si>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</si>
  <si>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</si>
  <si>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</si>
  <si>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</si>
  <si>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</si>
  <si>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</si>
  <si>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</si>
  <si>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</si>
  <si>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</si>
  <si>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</si>
  <si>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</si>
  <si>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</si>
  <si>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</si>
  <si>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</si>
  <si>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</si>
  <si>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</si>
  <si>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</si>
  <si>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</si>
  <si>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</si>
  <si>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</si>
  <si>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</si>
  <si>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</si>
  <si>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</si>
  <si>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</si>
  <si>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</si>
  <si>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</si>
  <si>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</si>
  <si>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</si>
  <si>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</si>
  <si>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</si>
  <si>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</si>
  <si>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</si>
  <si>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</si>
  <si>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</si>
  <si>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</si>
  <si>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</si>
  <si>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</si>
  <si>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</si>
  <si>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</si>
  <si>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</si>
  <si>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</si>
  <si>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</si>
  <si>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</si>
  <si>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</si>
  <si>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</si>
  <si>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</si>
  <si>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</si>
  <si>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</si>
  <si>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</si>
  <si>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</si>
  <si>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</si>
  <si>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</si>
  <si>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</si>
  <si>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</si>
  <si>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</si>
  <si>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</si>
  <si>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</si>
  <si>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</si>
  <si>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</si>
  <si>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</si>
  <si>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</si>
  <si>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</si>
  <si>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</si>
  <si>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</si>
  <si>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</si>
  <si>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</si>
  <si>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</si>
  <si>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</si>
  <si>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</si>
  <si>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</si>
  <si>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</si>
  <si>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</si>
  <si>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</si>
  <si>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</si>
  <si>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</si>
  <si>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</si>
  <si>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</si>
  <si>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</si>
  <si>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</si>
  <si>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</si>
  <si>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</si>
  <si>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</si>
  <si>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</si>
  <si>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</si>
  <si>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</si>
  <si>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</si>
  <si>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</si>
  <si>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</si>
  <si>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</si>
  <si>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</si>
  <si>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</si>
  <si>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</si>
  <si>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Uniformity (Uo) in x-direction (g1)</t>
  </si>
  <si>
    <t>Office (CAD)</t>
  </si>
  <si>
    <t>Glare</t>
  </si>
  <si>
    <t>Target Uniformity</t>
  </si>
  <si>
    <t>≥ 0.3</t>
  </si>
  <si>
    <t>Calculated lx</t>
  </si>
  <si>
    <t>Calculated Uniformity</t>
  </si>
  <si>
    <t>&lt;= 19</t>
  </si>
  <si>
    <t>Luminaire</t>
  </si>
  <si>
    <t>Suspension</t>
  </si>
  <si>
    <t>2.8m</t>
  </si>
  <si>
    <t>ETAP R3111/LEDN445DX1 x 9</t>
  </si>
  <si>
    <t>3.0m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</si>
</sst>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47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164" fontId="3" fillId="9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0" borderId="9" xfId="0" applyNumberFormat="1" applyFont="1" applyFill="1" applyBorder="1" applyAlignment="1">
      <alignment wrapText="1"/>
    </xf>
    <xf numFmtId="2" fontId="3" fillId="12" borderId="9" xfId="0" applyNumberFormat="1" applyFont="1" applyFill="1" applyBorder="1" applyAlignment="1">
      <alignment wrapText="1"/>
    </xf>
    <xf numFmtId="1" fontId="3" fillId="13" borderId="9" xfId="0" applyNumberFormat="1" applyFont="1" applyFill="1" applyBorder="1" applyAlignment="1">
      <alignment wrapText="1"/>
    </xf>
    <xf numFmtId="2" fontId="3" fillId="14" borderId="9" xfId="0" applyNumberFormat="1" applyFont="1" applyFill="1" applyBorder="1" applyAlignment="1">
      <alignment wrapText="1"/>
    </xf>
    <xf numFmtId="164" fontId="3" fillId="14" borderId="9" xfId="0" applyNumberFormat="1" applyFont="1" applyFill="1" applyBorder="1" applyAlignment="1">
      <alignment wrapText="1"/>
    </xf>
    <xf numFmtId="0" fontId="0" fillId="9" borderId="0" xfId="0" applyFill="1"/>
    <xf numFmtId="0" fontId="0" fillId="14" borderId="0" xfId="0" applyFill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Font="1" applyAlignment="1">
      <alignment vertical="center" wrapText="1"/>
    </xf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opLeftCell="K1" zoomScale="73" zoomScaleNormal="85" workbookViewId="0">
      <selection activeCell="T13" sqref="T1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3125" customWidth="1"/>
    <col min="18" max="20" width="12" customWidth="1"/>
    <col min="21" max="22" width="14" customWidth="1"/>
    <col min="23" max="23" width="16" customWidth="1"/>
  </cols>
  <sheetData>
    <row r="1" spans="1:28" ht="20.6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 t="shared" ref="AA3:AA36" si="1">IF(OR(S3="",Z3=""),"",S3-Z3)</f>
        <v/>
      </c>
      <c r="AB3" s="10" t="s">
        <v>31</v>
      </c>
    </row>
    <row r="4" spans="1:28" ht="27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 t="shared" si="1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2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3">IF(OR(X5="",Y5=""),"",X5*Y5)</f>
        <v/>
      </c>
      <c r="AA5" s="20" t="str">
        <f t="shared" si="1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2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3"/>
        <v/>
      </c>
      <c r="AA6" s="20" t="str">
        <f t="shared" si="1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2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3"/>
        <v/>
      </c>
      <c r="AA7" s="20" t="str">
        <f t="shared" si="1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2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3"/>
        <v/>
      </c>
      <c r="AA8" s="20" t="str">
        <f t="shared" si="1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2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3"/>
        <v/>
      </c>
      <c r="AA9" s="20" t="str">
        <f t="shared" si="1"/>
        <v/>
      </c>
      <c r="AB9" s="10" t="s">
        <v>31</v>
      </c>
    </row>
    <row r="10" spans="1:28" ht="27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3"/>
        <v/>
      </c>
      <c r="AA10" s="20" t="str">
        <f t="shared" si="1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2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 t="shared" si="1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2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 t="shared" si="1"/>
        <v>#REF!</v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2"/>
        <v>576</v>
      </c>
      <c r="T13" s="27">
        <v>743</v>
      </c>
      <c r="U13" s="27"/>
      <c r="V13" s="27"/>
      <c r="W13" s="9" t="s">
        <v>56</v>
      </c>
      <c r="X13" s="9"/>
      <c r="Y13" s="20"/>
      <c r="Z13" s="20" t="str">
        <f t="shared" si="3"/>
        <v/>
      </c>
      <c r="AA13" s="20" t="str">
        <f t="shared" si="1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2"/>
        <v>864</v>
      </c>
      <c r="T14" s="27">
        <v>1088</v>
      </c>
      <c r="U14" s="27"/>
      <c r="V14" s="27"/>
      <c r="W14" s="9" t="s">
        <v>56</v>
      </c>
      <c r="X14" s="9"/>
      <c r="Y14" s="20"/>
      <c r="Z14" s="20" t="str">
        <f t="shared" si="3"/>
        <v/>
      </c>
      <c r="AA14" s="20" t="str">
        <f t="shared" si="1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2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3"/>
        <v/>
      </c>
      <c r="AA15" s="20" t="str">
        <f t="shared" si="1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2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3"/>
        <v/>
      </c>
      <c r="AA16" s="20" t="str">
        <f t="shared" si="1"/>
        <v/>
      </c>
      <c r="AB16" s="10" t="s">
        <v>31</v>
      </c>
    </row>
    <row r="17" spans="1:28" ht="27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2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3"/>
        <v/>
      </c>
      <c r="AA17" s="20" t="str">
        <f t="shared" si="1"/>
        <v/>
      </c>
      <c r="AB17" s="10" t="s">
        <v>31</v>
      </c>
    </row>
    <row r="18" spans="1:28" ht="27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2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3"/>
        <v/>
      </c>
      <c r="AA18" s="20" t="str">
        <f t="shared" si="1"/>
        <v/>
      </c>
      <c r="AB18" s="10" t="s">
        <v>31</v>
      </c>
    </row>
    <row r="19" spans="1:28" ht="25.5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2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3"/>
        <v/>
      </c>
      <c r="AA19" s="20" t="str">
        <f t="shared" si="1"/>
        <v/>
      </c>
      <c r="AB19" s="10" t="s">
        <v>31</v>
      </c>
    </row>
    <row r="20" spans="1:28" ht="25.5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2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3"/>
        <v/>
      </c>
      <c r="AA20" s="20" t="str">
        <f t="shared" si="1"/>
        <v/>
      </c>
      <c r="AB20" s="10" t="s">
        <v>31</v>
      </c>
    </row>
    <row r="21" spans="1:28" ht="27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2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3"/>
        <v/>
      </c>
      <c r="AA21" s="20" t="str">
        <f t="shared" si="1"/>
        <v/>
      </c>
      <c r="AB21" s="10" t="s">
        <v>31</v>
      </c>
    </row>
    <row r="22" spans="1:28" ht="25.5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2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3"/>
        <v/>
      </c>
      <c r="AA22" s="20" t="str">
        <f t="shared" si="1"/>
        <v/>
      </c>
      <c r="AB22" s="10" t="s">
        <v>31</v>
      </c>
    </row>
    <row r="23" spans="1:28" ht="25.5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2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3"/>
        <v/>
      </c>
      <c r="AA23" s="20" t="str">
        <f t="shared" si="1"/>
        <v/>
      </c>
      <c r="AB23" s="10" t="s">
        <v>31</v>
      </c>
    </row>
    <row r="24" spans="1:28" ht="25.5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2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3"/>
        <v/>
      </c>
      <c r="AA24" s="20" t="str">
        <f t="shared" si="1"/>
        <v/>
      </c>
      <c r="AB24" s="10" t="s">
        <v>31</v>
      </c>
    </row>
    <row r="25" spans="1:28" ht="25.5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2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3"/>
        <v/>
      </c>
      <c r="AA25" s="20" t="str">
        <f t="shared" si="1"/>
        <v/>
      </c>
      <c r="AB25" s="10" t="s">
        <v>31</v>
      </c>
    </row>
    <row r="26" spans="1:28" ht="25.5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2"/>
        <v>1152</v>
      </c>
      <c r="T26" s="27">
        <v>455</v>
      </c>
      <c r="U26" s="27"/>
      <c r="V26" s="27"/>
      <c r="W26" s="9" t="s">
        <v>56</v>
      </c>
      <c r="X26" s="9"/>
      <c r="Y26" s="20"/>
      <c r="Z26" s="20" t="str">
        <f t="shared" si="3"/>
        <v/>
      </c>
      <c r="AA26" s="20" t="str">
        <f t="shared" si="1"/>
        <v/>
      </c>
      <c r="AB26" s="10" t="s">
        <v>31</v>
      </c>
    </row>
    <row r="27" spans="1:28" ht="27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2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3"/>
        <v/>
      </c>
      <c r="AA27" s="20" t="str">
        <f t="shared" si="1"/>
        <v/>
      </c>
      <c r="AB27" s="10" t="s">
        <v>31</v>
      </c>
    </row>
    <row r="28" spans="1:28" ht="25.5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2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3"/>
        <v/>
      </c>
      <c r="AA28" s="20" t="str">
        <f t="shared" si="1"/>
        <v/>
      </c>
      <c r="AB28" s="10" t="s">
        <v>31</v>
      </c>
    </row>
    <row r="29" spans="1:28" ht="27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2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3"/>
        <v/>
      </c>
      <c r="AA29" s="20" t="str">
        <f t="shared" si="1"/>
        <v/>
      </c>
      <c r="AB29" s="10" t="s">
        <v>31</v>
      </c>
    </row>
    <row r="30" spans="1:28" ht="25.5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2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3"/>
        <v/>
      </c>
      <c r="AA30" s="20" t="str">
        <f t="shared" si="1"/>
        <v/>
      </c>
      <c r="AB30" s="10" t="s">
        <v>31</v>
      </c>
    </row>
    <row r="31" spans="1:28" ht="25.5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2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3"/>
        <v/>
      </c>
      <c r="AA31" s="20" t="str">
        <f t="shared" si="1"/>
        <v/>
      </c>
      <c r="AB31" s="10" t="s">
        <v>31</v>
      </c>
    </row>
    <row r="32" spans="1:28" ht="25.5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2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3"/>
        <v/>
      </c>
      <c r="AA32" s="20" t="str">
        <f t="shared" si="1"/>
        <v/>
      </c>
      <c r="AB32" s="10" t="s">
        <v>31</v>
      </c>
    </row>
    <row r="33" spans="1:28" ht="25.5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2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3"/>
        <v/>
      </c>
      <c r="AA33" s="20" t="str">
        <f t="shared" si="1"/>
        <v/>
      </c>
      <c r="AB33" s="10" t="s">
        <v>31</v>
      </c>
    </row>
    <row r="34" spans="1:28" ht="25.5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2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3"/>
        <v/>
      </c>
      <c r="AA34" s="20" t="str">
        <f t="shared" si="1"/>
        <v/>
      </c>
      <c r="AB34" s="10" t="s">
        <v>31</v>
      </c>
    </row>
    <row r="35" spans="1:28" ht="25.5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2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3"/>
        <v/>
      </c>
      <c r="AA35" s="20" t="str">
        <f t="shared" si="1"/>
        <v/>
      </c>
      <c r="AB35" s="10" t="s">
        <v>31</v>
      </c>
    </row>
    <row r="36" spans="1:28" ht="25.5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3"/>
        <v/>
      </c>
      <c r="AA36" s="21" t="str">
        <f t="shared" si="1"/>
        <v/>
      </c>
      <c r="AB36" s="15" t="s">
        <v>31</v>
      </c>
    </row>
  </sheetData>
  <mergeCells count="1">
    <mergeCell ref="A1:W1"/>
  </mergeCells>
  <conditionalFormatting sqref="T4:V36">
    <cfRule type="expression" dxfId="5" priority="1">
      <formula>$T4&lt;$F4</formula>
    </cfRule>
    <cfRule type="expression" dxfId="4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topLeftCell="A12" zoomScale="60" zoomScaleNormal="70" workbookViewId="0">
      <selection activeCell="E34" sqref="E34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hidden="1" customWidth="1"/>
    <col min="11" max="11" width="30" hidden="1" customWidth="1"/>
    <col min="12" max="12" width="34" hidden="1" customWidth="1"/>
    <col min="13" max="13" width="22" hidden="1" customWidth="1"/>
    <col min="14" max="15" width="12" hidden="1" customWidth="1"/>
    <col min="16" max="16" width="14" hidden="1" customWidth="1"/>
    <col min="17" max="17" width="15.6875" hidden="1" customWidth="1"/>
    <col min="18" max="18" width="12" hidden="1" customWidth="1"/>
    <col min="19" max="20" width="14" hidden="1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28" ht="20.65">
      <c r="A1" s="44" t="s">
        <v>105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199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 t="shared" ref="AA3:AA38" si="2">IF(OR(S3="",Z3=""),"",S3-Z3)</f>
        <v/>
      </c>
      <c r="AB3" s="10" t="s">
        <v>31</v>
      </c>
    </row>
    <row r="4" spans="1:28" ht="25.5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3">2*36*N4</f>
        <v>144</v>
      </c>
      <c r="P4" s="25" t="s">
        <v>191</v>
      </c>
      <c r="Q4" s="24">
        <v>5</v>
      </c>
      <c r="R4" s="24">
        <f t="shared" ref="R4:R24" si="4">4*36*Q4</f>
        <v>720</v>
      </c>
      <c r="S4" s="20">
        <f t="shared" ref="S4:S23" si="5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 t="shared" si="2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3"/>
        <v>0</v>
      </c>
      <c r="P5" s="25" t="s">
        <v>191</v>
      </c>
      <c r="Q5" s="24">
        <v>1</v>
      </c>
      <c r="R5" s="24">
        <f t="shared" si="4"/>
        <v>144</v>
      </c>
      <c r="S5" s="20">
        <f t="shared" si="5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 t="shared" si="2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3"/>
        <v>72</v>
      </c>
      <c r="P6" s="25" t="s">
        <v>191</v>
      </c>
      <c r="Q6" s="24">
        <v>0</v>
      </c>
      <c r="R6" s="24">
        <f t="shared" si="4"/>
        <v>0</v>
      </c>
      <c r="S6" s="20">
        <f t="shared" si="5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 t="shared" si="2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3"/>
        <v>72</v>
      </c>
      <c r="P7" s="25" t="s">
        <v>191</v>
      </c>
      <c r="Q7" s="24">
        <v>0</v>
      </c>
      <c r="R7" s="24">
        <f t="shared" si="4"/>
        <v>0</v>
      </c>
      <c r="S7" s="20">
        <f t="shared" si="5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 t="shared" si="2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3"/>
        <v>72</v>
      </c>
      <c r="P8" s="25" t="s">
        <v>191</v>
      </c>
      <c r="Q8" s="24">
        <v>0</v>
      </c>
      <c r="R8" s="24">
        <f t="shared" si="4"/>
        <v>0</v>
      </c>
      <c r="S8" s="20">
        <f t="shared" si="5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 t="shared" si="2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3"/>
        <v>72</v>
      </c>
      <c r="P9" s="25" t="s">
        <v>191</v>
      </c>
      <c r="Q9" s="24">
        <v>0</v>
      </c>
      <c r="R9" s="24">
        <f t="shared" si="4"/>
        <v>0</v>
      </c>
      <c r="S9" s="20">
        <f t="shared" si="5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 t="shared" si="2"/>
        <v/>
      </c>
      <c r="AB9" s="10" t="s">
        <v>31</v>
      </c>
    </row>
    <row r="10" spans="1:28" ht="25.5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3"/>
        <v>0</v>
      </c>
      <c r="P10" s="25" t="s">
        <v>191</v>
      </c>
      <c r="Q10" s="24">
        <v>4</v>
      </c>
      <c r="R10" s="24">
        <f t="shared" si="4"/>
        <v>576</v>
      </c>
      <c r="S10" s="20">
        <f t="shared" si="5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 t="shared" si="2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3"/>
        <v>0</v>
      </c>
      <c r="P11" s="25" t="s">
        <v>191</v>
      </c>
      <c r="Q11" s="24">
        <v>2</v>
      </c>
      <c r="R11" s="24">
        <f t="shared" si="4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7">IF(OR(X11="",Y11=""),"",X11*Y11)</f>
        <v/>
      </c>
      <c r="AA11" s="20" t="str">
        <f t="shared" si="2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3"/>
        <v>0</v>
      </c>
      <c r="P12" s="25" t="s">
        <v>191</v>
      </c>
      <c r="Q12" s="24">
        <v>6</v>
      </c>
      <c r="R12" s="24">
        <f t="shared" si="4"/>
        <v>864</v>
      </c>
      <c r="S12" s="20">
        <f t="shared" si="5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 t="shared" si="2"/>
        <v/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3"/>
        <v>0</v>
      </c>
      <c r="P13" s="25" t="s">
        <v>191</v>
      </c>
      <c r="Q13" s="24">
        <v>2</v>
      </c>
      <c r="R13" s="24">
        <f t="shared" si="4"/>
        <v>288</v>
      </c>
      <c r="S13" s="20">
        <f t="shared" si="5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 t="shared" si="2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3"/>
        <v>0</v>
      </c>
      <c r="P14" s="25" t="s">
        <v>191</v>
      </c>
      <c r="Q14" s="24">
        <v>3</v>
      </c>
      <c r="R14" s="24">
        <f t="shared" si="4"/>
        <v>432</v>
      </c>
      <c r="S14" s="20">
        <f t="shared" si="5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 t="shared" si="2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3"/>
        <v>0</v>
      </c>
      <c r="P15" s="25" t="s">
        <v>191</v>
      </c>
      <c r="Q15" s="24">
        <v>2</v>
      </c>
      <c r="R15" s="24">
        <f t="shared" si="4"/>
        <v>288</v>
      </c>
      <c r="S15" s="20">
        <f t="shared" si="5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 t="shared" si="2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3"/>
        <v>0</v>
      </c>
      <c r="P16" s="25" t="s">
        <v>191</v>
      </c>
      <c r="Q16" s="24">
        <v>1</v>
      </c>
      <c r="R16" s="24">
        <f t="shared" si="4"/>
        <v>144</v>
      </c>
      <c r="S16" s="20">
        <f t="shared" si="5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 t="shared" si="2"/>
        <v/>
      </c>
      <c r="AB16" s="10" t="s">
        <v>31</v>
      </c>
    </row>
    <row r="17" spans="1:28" ht="25.5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3"/>
        <v>0</v>
      </c>
      <c r="P17" s="25" t="s">
        <v>191</v>
      </c>
      <c r="Q17" s="24">
        <v>4</v>
      </c>
      <c r="R17" s="24">
        <f t="shared" si="4"/>
        <v>576</v>
      </c>
      <c r="S17" s="20">
        <f t="shared" si="5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 t="shared" si="2"/>
        <v/>
      </c>
      <c r="AB17" s="10" t="s">
        <v>31</v>
      </c>
    </row>
    <row r="18" spans="1:28" ht="25.5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3"/>
        <v>0</v>
      </c>
      <c r="P18" s="25" t="s">
        <v>191</v>
      </c>
      <c r="Q18" s="24">
        <v>2</v>
      </c>
      <c r="R18" s="24">
        <f t="shared" si="4"/>
        <v>288</v>
      </c>
      <c r="S18" s="20">
        <f t="shared" si="5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 t="shared" si="2"/>
        <v/>
      </c>
      <c r="AB18" s="10" t="s">
        <v>31</v>
      </c>
    </row>
    <row r="19" spans="1:28" ht="25.5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3"/>
        <v>0</v>
      </c>
      <c r="P19" s="25" t="s">
        <v>191</v>
      </c>
      <c r="Q19" s="24">
        <v>6</v>
      </c>
      <c r="R19" s="24">
        <f t="shared" si="4"/>
        <v>864</v>
      </c>
      <c r="S19" s="20">
        <f t="shared" si="5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 t="shared" si="2"/>
        <v/>
      </c>
      <c r="AB19" s="10" t="s">
        <v>31</v>
      </c>
    </row>
    <row r="20" spans="1:28" ht="25.5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3"/>
        <v>0</v>
      </c>
      <c r="P20" s="25" t="s">
        <v>191</v>
      </c>
      <c r="Q20" s="24">
        <v>4</v>
      </c>
      <c r="R20" s="24">
        <f t="shared" si="4"/>
        <v>576</v>
      </c>
      <c r="S20" s="20">
        <f t="shared" si="5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 t="shared" si="2"/>
        <v/>
      </c>
      <c r="AB20" s="10" t="s">
        <v>31</v>
      </c>
    </row>
    <row r="21" spans="1:28" ht="25.5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3"/>
        <v>0</v>
      </c>
      <c r="P21" s="25" t="s">
        <v>191</v>
      </c>
      <c r="Q21" s="24">
        <v>1</v>
      </c>
      <c r="R21" s="24">
        <f t="shared" si="4"/>
        <v>144</v>
      </c>
      <c r="S21" s="20">
        <f t="shared" si="5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 t="shared" si="2"/>
        <v/>
      </c>
      <c r="AB21" s="10" t="s">
        <v>31</v>
      </c>
    </row>
    <row r="22" spans="1:28" ht="25.5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3"/>
        <v>0</v>
      </c>
      <c r="P22" s="25" t="s">
        <v>191</v>
      </c>
      <c r="Q22" s="24">
        <v>4</v>
      </c>
      <c r="R22" s="24">
        <f t="shared" si="4"/>
        <v>576</v>
      </c>
      <c r="S22" s="20">
        <f t="shared" si="5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 t="shared" si="2"/>
        <v/>
      </c>
      <c r="AB22" s="10" t="s">
        <v>31</v>
      </c>
    </row>
    <row r="23" spans="1:28" ht="25.5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3"/>
        <v>0</v>
      </c>
      <c r="P23" s="25" t="s">
        <v>191</v>
      </c>
      <c r="Q23" s="24">
        <v>2</v>
      </c>
      <c r="R23" s="24">
        <f t="shared" si="4"/>
        <v>288</v>
      </c>
      <c r="S23" s="20">
        <f t="shared" si="5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 t="shared" si="2"/>
        <v/>
      </c>
      <c r="AB23" s="10" t="s">
        <v>31</v>
      </c>
    </row>
    <row r="24" spans="1:28" ht="25.5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4"/>
        <v>0</v>
      </c>
      <c r="S24" s="20">
        <f>O24</f>
        <v>72</v>
      </c>
      <c r="T24" s="29">
        <v>229</v>
      </c>
      <c r="U24" s="36">
        <v>0.93</v>
      </c>
      <c r="V24" s="39"/>
      <c r="W24" s="9" t="s">
        <v>30</v>
      </c>
      <c r="X24" s="9"/>
      <c r="Y24" s="20"/>
      <c r="Z24" s="20" t="str">
        <f t="shared" si="1"/>
        <v/>
      </c>
      <c r="AA24" s="20" t="str">
        <f t="shared" si="2"/>
        <v/>
      </c>
      <c r="AB24" s="10" t="s">
        <v>31</v>
      </c>
    </row>
    <row r="25" spans="1:28" ht="25.5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8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9">72*N25</f>
        <v>144</v>
      </c>
      <c r="P25" s="25" t="s">
        <v>191</v>
      </c>
      <c r="Q25" s="24">
        <v>0</v>
      </c>
      <c r="R25" s="24">
        <f t="shared" ref="R25:R33" si="10">4*36*Q25</f>
        <v>0</v>
      </c>
      <c r="S25" s="20">
        <f t="shared" ref="S25:S38" si="11">O25</f>
        <v>144</v>
      </c>
      <c r="T25" s="29">
        <v>168</v>
      </c>
      <c r="U25" s="40">
        <v>7.0000000000000007E-2</v>
      </c>
      <c r="V25" s="39"/>
      <c r="W25" s="9" t="s">
        <v>30</v>
      </c>
      <c r="X25" s="9"/>
      <c r="Y25" s="20"/>
      <c r="Z25" s="20" t="str">
        <f t="shared" ref="Z25" si="12">IF(OR(X25="",Y25=""),"",X25*Y25)</f>
        <v/>
      </c>
      <c r="AA25" s="20" t="str">
        <f t="shared" si="2"/>
        <v/>
      </c>
      <c r="AB25" s="10" t="s">
        <v>31</v>
      </c>
    </row>
    <row r="26" spans="1:28" ht="25.5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3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9"/>
        <v>0</v>
      </c>
      <c r="P26" s="25" t="s">
        <v>191</v>
      </c>
      <c r="Q26" s="24">
        <v>0</v>
      </c>
      <c r="R26" s="24">
        <f t="shared" si="10"/>
        <v>0</v>
      </c>
      <c r="S26" s="20">
        <f t="shared" si="11"/>
        <v>0</v>
      </c>
      <c r="T26" s="29">
        <v>0</v>
      </c>
      <c r="U26" s="38">
        <v>0</v>
      </c>
      <c r="V26" s="37"/>
      <c r="W26" s="9" t="s">
        <v>30</v>
      </c>
      <c r="X26" s="9"/>
      <c r="Y26" s="20"/>
      <c r="Z26" s="20" t="str">
        <f t="shared" ref="Z26:Z38" si="14">IF(OR(X26="",Y26=""),"",X26*Y26)</f>
        <v/>
      </c>
      <c r="AA26" s="20" t="str">
        <f t="shared" si="2"/>
        <v/>
      </c>
      <c r="AB26" s="10" t="s">
        <v>31</v>
      </c>
    </row>
    <row r="27" spans="1:28" ht="25.5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3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10"/>
        <v>0</v>
      </c>
      <c r="S27" s="20">
        <f t="shared" si="11"/>
        <v>288</v>
      </c>
      <c r="T27" s="29">
        <v>291</v>
      </c>
      <c r="U27" s="40">
        <v>0.67</v>
      </c>
      <c r="V27" s="41">
        <v>22</v>
      </c>
      <c r="W27" s="9" t="s">
        <v>56</v>
      </c>
      <c r="X27" s="9"/>
      <c r="Y27" s="20"/>
      <c r="Z27" s="20" t="str">
        <f t="shared" si="14"/>
        <v/>
      </c>
      <c r="AA27" s="20" t="str">
        <f t="shared" si="2"/>
        <v/>
      </c>
      <c r="AB27" s="10" t="s">
        <v>31</v>
      </c>
    </row>
    <row r="28" spans="1:28" ht="25.5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3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9"/>
        <v>288</v>
      </c>
      <c r="P28" s="25" t="s">
        <v>191</v>
      </c>
      <c r="Q28" s="24">
        <v>0</v>
      </c>
      <c r="R28" s="24">
        <f t="shared" si="10"/>
        <v>0</v>
      </c>
      <c r="S28" s="20">
        <f t="shared" si="11"/>
        <v>288</v>
      </c>
      <c r="T28" s="29">
        <v>384</v>
      </c>
      <c r="U28" s="36">
        <v>0.77</v>
      </c>
      <c r="V28" s="41">
        <v>20.8</v>
      </c>
      <c r="W28" s="9" t="s">
        <v>56</v>
      </c>
      <c r="X28" s="9"/>
      <c r="Y28" s="20"/>
      <c r="Z28" s="20" t="str">
        <f t="shared" si="14"/>
        <v/>
      </c>
      <c r="AA28" s="20" t="str">
        <f t="shared" si="2"/>
        <v/>
      </c>
      <c r="AB28" s="10" t="s">
        <v>31</v>
      </c>
    </row>
    <row r="29" spans="1:28" ht="25.5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3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9"/>
        <v>360</v>
      </c>
      <c r="P29" s="25" t="s">
        <v>191</v>
      </c>
      <c r="Q29" s="24">
        <v>0</v>
      </c>
      <c r="R29" s="24">
        <f t="shared" si="10"/>
        <v>0</v>
      </c>
      <c r="S29" s="20">
        <f t="shared" si="11"/>
        <v>360</v>
      </c>
      <c r="T29" s="29">
        <v>375</v>
      </c>
      <c r="U29" s="40">
        <v>0.59</v>
      </c>
      <c r="V29" s="41">
        <v>22.6</v>
      </c>
      <c r="W29" s="9" t="s">
        <v>56</v>
      </c>
      <c r="X29" s="9"/>
      <c r="Y29" s="20"/>
      <c r="Z29" s="20" t="str">
        <f t="shared" si="14"/>
        <v/>
      </c>
      <c r="AA29" s="20" t="str">
        <f t="shared" si="2"/>
        <v/>
      </c>
      <c r="AB29" s="10" t="s">
        <v>31</v>
      </c>
    </row>
    <row r="30" spans="1:28" ht="25.5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3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9"/>
        <v>504</v>
      </c>
      <c r="P30" s="25" t="s">
        <v>191</v>
      </c>
      <c r="Q30" s="24">
        <v>0</v>
      </c>
      <c r="R30" s="24">
        <f t="shared" si="10"/>
        <v>0</v>
      </c>
      <c r="S30" s="20">
        <f t="shared" si="11"/>
        <v>504</v>
      </c>
      <c r="T30" s="29">
        <v>316</v>
      </c>
      <c r="U30" s="36">
        <v>0.62</v>
      </c>
      <c r="V30" s="41">
        <v>25.1</v>
      </c>
      <c r="W30" s="9" t="s">
        <v>30</v>
      </c>
      <c r="X30" s="9"/>
      <c r="Y30" s="20"/>
      <c r="Z30" s="20" t="str">
        <f t="shared" si="14"/>
        <v/>
      </c>
      <c r="AA30" s="20" t="str">
        <f t="shared" si="2"/>
        <v/>
      </c>
      <c r="AB30" s="10" t="s">
        <v>31</v>
      </c>
    </row>
    <row r="31" spans="1:28" ht="25.5">
      <c r="A31" s="6" t="s">
        <v>78</v>
      </c>
      <c r="B31" s="7" t="s">
        <v>89</v>
      </c>
      <c r="C31" s="7" t="s">
        <v>200</v>
      </c>
      <c r="D31" s="7" t="s">
        <v>69</v>
      </c>
      <c r="E31" s="16">
        <v>0.7</v>
      </c>
      <c r="F31" s="18">
        <v>320</v>
      </c>
      <c r="G31" s="18">
        <f t="shared" si="13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9"/>
        <v>648</v>
      </c>
      <c r="P31" s="25" t="s">
        <v>191</v>
      </c>
      <c r="Q31" s="24">
        <v>0</v>
      </c>
      <c r="R31" s="24">
        <f t="shared" si="10"/>
        <v>0</v>
      </c>
      <c r="S31" s="20">
        <f t="shared" si="11"/>
        <v>648</v>
      </c>
      <c r="T31" s="29">
        <v>476</v>
      </c>
      <c r="U31" s="40">
        <v>0.66</v>
      </c>
      <c r="V31" s="41">
        <v>21.4</v>
      </c>
      <c r="W31" s="9" t="s">
        <v>56</v>
      </c>
      <c r="X31" s="9"/>
      <c r="Y31" s="20"/>
      <c r="Z31" s="20" t="str">
        <f t="shared" si="14"/>
        <v/>
      </c>
      <c r="AA31" s="20" t="str">
        <f t="shared" si="2"/>
        <v/>
      </c>
      <c r="AB31" s="10" t="s">
        <v>31</v>
      </c>
    </row>
    <row r="32" spans="1:28" ht="25.5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3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9"/>
        <v>432</v>
      </c>
      <c r="P32" s="25" t="s">
        <v>191</v>
      </c>
      <c r="Q32" s="24">
        <v>0</v>
      </c>
      <c r="R32" s="24">
        <f t="shared" si="10"/>
        <v>0</v>
      </c>
      <c r="S32" s="20">
        <f t="shared" si="11"/>
        <v>432</v>
      </c>
      <c r="T32" s="29">
        <v>552</v>
      </c>
      <c r="U32" s="36">
        <v>0.72</v>
      </c>
      <c r="V32" s="35">
        <v>18.5</v>
      </c>
      <c r="W32" s="9" t="s">
        <v>56</v>
      </c>
      <c r="X32" s="9"/>
      <c r="Y32" s="20"/>
      <c r="Z32" s="20" t="str">
        <f t="shared" si="14"/>
        <v/>
      </c>
      <c r="AA32" s="20" t="str">
        <f t="shared" si="2"/>
        <v/>
      </c>
      <c r="AB32" s="10" t="s">
        <v>31</v>
      </c>
    </row>
    <row r="33" spans="1:28" ht="25.5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3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9"/>
        <v>144</v>
      </c>
      <c r="P33" s="25" t="s">
        <v>191</v>
      </c>
      <c r="Q33" s="24">
        <v>0</v>
      </c>
      <c r="R33" s="24">
        <f t="shared" si="10"/>
        <v>0</v>
      </c>
      <c r="S33" s="20">
        <f t="shared" si="11"/>
        <v>144</v>
      </c>
      <c r="T33" s="29">
        <v>227</v>
      </c>
      <c r="U33" s="36">
        <v>0.87</v>
      </c>
      <c r="V33" s="35">
        <v>17.5</v>
      </c>
      <c r="W33" s="9" t="s">
        <v>30</v>
      </c>
      <c r="X33" s="9"/>
      <c r="Y33" s="20"/>
      <c r="Z33" s="20" t="str">
        <f t="shared" si="14"/>
        <v/>
      </c>
      <c r="AA33" s="20" t="str">
        <f t="shared" si="2"/>
        <v/>
      </c>
      <c r="AB33" s="10" t="s">
        <v>31</v>
      </c>
    </row>
    <row r="34" spans="1:28" ht="25.5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3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9"/>
        <v>648</v>
      </c>
      <c r="P34" s="25" t="s">
        <v>191</v>
      </c>
      <c r="Q34" s="24">
        <v>0</v>
      </c>
      <c r="R34" s="24">
        <f>4*36*Q34</f>
        <v>0</v>
      </c>
      <c r="S34" s="20">
        <f t="shared" si="11"/>
        <v>648</v>
      </c>
      <c r="T34" s="29">
        <v>676</v>
      </c>
      <c r="U34" s="40">
        <v>0.68</v>
      </c>
      <c r="V34" s="41">
        <v>21.5</v>
      </c>
      <c r="W34" s="9" t="s">
        <v>56</v>
      </c>
      <c r="X34" s="9"/>
      <c r="Y34" s="20"/>
      <c r="Z34" s="20" t="str">
        <f t="shared" si="14"/>
        <v/>
      </c>
      <c r="AA34" s="20" t="str">
        <f t="shared" si="2"/>
        <v/>
      </c>
      <c r="AB34" s="10" t="s">
        <v>31</v>
      </c>
    </row>
    <row r="35" spans="1:28" ht="25.5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3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5">4*36*Q35</f>
        <v>0</v>
      </c>
      <c r="S35" s="20">
        <f>O35</f>
        <v>216</v>
      </c>
      <c r="T35" s="29">
        <v>273</v>
      </c>
      <c r="U35" s="36">
        <v>0.66</v>
      </c>
      <c r="V35" s="35">
        <v>21.1</v>
      </c>
      <c r="W35" s="9" t="s">
        <v>30</v>
      </c>
      <c r="X35" s="9"/>
      <c r="Y35" s="20"/>
      <c r="Z35" s="20" t="str">
        <f t="shared" si="14"/>
        <v/>
      </c>
      <c r="AA35" s="20" t="str">
        <f t="shared" si="2"/>
        <v/>
      </c>
      <c r="AB35" s="10" t="s">
        <v>31</v>
      </c>
    </row>
    <row r="36" spans="1:28" ht="25.5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3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9"/>
        <v>576</v>
      </c>
      <c r="P36" s="25" t="s">
        <v>191</v>
      </c>
      <c r="Q36" s="24">
        <v>0</v>
      </c>
      <c r="R36" s="24">
        <f t="shared" si="15"/>
        <v>0</v>
      </c>
      <c r="S36" s="20">
        <f t="shared" si="11"/>
        <v>576</v>
      </c>
      <c r="T36" s="29">
        <v>622</v>
      </c>
      <c r="U36" s="36">
        <v>0.7</v>
      </c>
      <c r="V36" s="35">
        <v>18.7</v>
      </c>
      <c r="W36" s="9" t="s">
        <v>56</v>
      </c>
      <c r="X36" s="9"/>
      <c r="Y36" s="20"/>
      <c r="Z36" s="20" t="str">
        <f t="shared" si="14"/>
        <v/>
      </c>
      <c r="AA36" s="20" t="str">
        <f t="shared" si="2"/>
        <v/>
      </c>
      <c r="AB36" s="10" t="s">
        <v>31</v>
      </c>
    </row>
    <row r="37" spans="1:28" ht="25.5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3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9"/>
        <v>72</v>
      </c>
      <c r="P37" s="25" t="s">
        <v>191</v>
      </c>
      <c r="Q37" s="24">
        <v>0</v>
      </c>
      <c r="R37" s="24">
        <f t="shared" si="15"/>
        <v>0</v>
      </c>
      <c r="S37" s="20">
        <f t="shared" si="11"/>
        <v>72</v>
      </c>
      <c r="T37" s="29">
        <v>136</v>
      </c>
      <c r="U37" s="36">
        <v>0.76</v>
      </c>
      <c r="V37" s="35">
        <v>11.9</v>
      </c>
      <c r="W37" s="9" t="s">
        <v>30</v>
      </c>
      <c r="X37" s="9"/>
      <c r="Y37" s="20"/>
      <c r="Z37" s="20" t="str">
        <f t="shared" si="14"/>
        <v/>
      </c>
      <c r="AA37" s="20" t="str">
        <f t="shared" si="2"/>
        <v/>
      </c>
      <c r="AB37" s="10" t="s">
        <v>31</v>
      </c>
    </row>
    <row r="38" spans="1:28" ht="25.5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3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9"/>
        <v>576</v>
      </c>
      <c r="P38" s="25" t="s">
        <v>191</v>
      </c>
      <c r="Q38" s="24">
        <v>0</v>
      </c>
      <c r="R38" s="24">
        <f t="shared" si="15"/>
        <v>0</v>
      </c>
      <c r="S38" s="20">
        <f t="shared" si="11"/>
        <v>576</v>
      </c>
      <c r="T38" s="29">
        <v>458</v>
      </c>
      <c r="U38" s="40">
        <v>0.62</v>
      </c>
      <c r="V38" s="41">
        <v>20.8</v>
      </c>
      <c r="W38" s="14" t="s">
        <v>56</v>
      </c>
      <c r="X38" s="14"/>
      <c r="Y38" s="21"/>
      <c r="Z38" s="21" t="str">
        <f t="shared" si="14"/>
        <v/>
      </c>
      <c r="AA38" s="21" t="str">
        <f t="shared" si="2"/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4:V23">
    <cfRule type="expression" dxfId="3" priority="3">
      <formula>$T4&gt;=$F4</formula>
    </cfRule>
    <cfRule type="expression" dxfId="2" priority="4">
      <formula>$T4&lt;$F4</formula>
    </cfRule>
  </conditionalFormatting>
  <conditionalFormatting sqref="T25">
    <cfRule type="expression" dxfId="1" priority="1">
      <formula>$T25&gt;=$F25</formula>
    </cfRule>
    <cfRule type="expression" dxfId="0" priority="2">
      <formula>$T25&lt;$F25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9E06F-3BD1-49F8-AE29-EAEE385292C4}">
  <dimension ref="A1:M16"/>
  <sheetViews>
    <sheetView tabSelected="1" zoomScale="85" zoomScaleNormal="85" workbookViewId="0">
      <selection activeCell="O4" sqref="O4"/>
    </sheetView>
  </sheetViews>
  <sheetFormatPr defaultRowHeight="13.5"/>
  <cols>
    <col min="3" max="3" width="11.875" customWidth="1"/>
    <col min="4" max="4" width="15.4375" customWidth="1"/>
    <col min="5" max="5" width="14.0625" customWidth="1"/>
    <col min="6" max="6" width="16.25" customWidth="1"/>
    <col min="7" max="7" width="19.5" customWidth="1"/>
    <col min="9" max="9" width="18.8125" customWidth="1"/>
    <col min="10" max="10" width="17.8125" customWidth="1"/>
    <col min="11" max="11" width="16" customWidth="1"/>
    <col min="12" max="12" width="18.4375" customWidth="1"/>
  </cols>
  <sheetData>
    <row r="1" spans="1:13" ht="27.7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26" t="s">
        <v>202</v>
      </c>
      <c r="H1" s="26" t="s">
        <v>201</v>
      </c>
      <c r="I1" s="26" t="s">
        <v>207</v>
      </c>
      <c r="J1" s="26" t="s">
        <v>208</v>
      </c>
      <c r="K1" s="26" t="s">
        <v>204</v>
      </c>
      <c r="L1" s="26" t="s">
        <v>205</v>
      </c>
      <c r="M1" s="26" t="s">
        <v>201</v>
      </c>
    </row>
    <row r="2" spans="1:13">
      <c r="A2" s="6" t="s">
        <v>78</v>
      </c>
      <c r="B2" s="7" t="s">
        <v>132</v>
      </c>
      <c r="C2" s="7" t="s">
        <v>24</v>
      </c>
      <c r="D2" s="7" t="s">
        <v>25</v>
      </c>
      <c r="E2" s="16">
        <v>0</v>
      </c>
      <c r="F2" s="18">
        <v>80</v>
      </c>
      <c r="G2" s="8" t="s">
        <v>203</v>
      </c>
      <c r="K2" s="42">
        <v>307</v>
      </c>
      <c r="L2" s="42">
        <v>0.93</v>
      </c>
    </row>
    <row r="3" spans="1:13" ht="25.5">
      <c r="A3" s="6" t="s">
        <v>78</v>
      </c>
      <c r="B3" s="28">
        <v>202</v>
      </c>
      <c r="C3" s="7" t="s">
        <v>59</v>
      </c>
      <c r="D3" s="7" t="s">
        <v>60</v>
      </c>
      <c r="E3" s="16">
        <v>0</v>
      </c>
      <c r="F3" s="18">
        <v>40</v>
      </c>
      <c r="G3" s="8" t="s">
        <v>203</v>
      </c>
      <c r="K3" s="42">
        <v>199</v>
      </c>
      <c r="L3" s="43">
        <v>6.4000000000000001E-2</v>
      </c>
    </row>
    <row r="4" spans="1:13" ht="25.5">
      <c r="A4" s="6" t="s">
        <v>78</v>
      </c>
      <c r="B4" s="7" t="s">
        <v>133</v>
      </c>
      <c r="C4" s="7" t="s">
        <v>134</v>
      </c>
      <c r="D4" s="7" t="s">
        <v>135</v>
      </c>
      <c r="E4" s="16">
        <v>0</v>
      </c>
      <c r="F4" s="18">
        <v>80</v>
      </c>
      <c r="G4" s="8"/>
      <c r="K4" s="42"/>
      <c r="L4" s="42"/>
    </row>
    <row r="5" spans="1:13">
      <c r="A5" s="6" t="s">
        <v>78</v>
      </c>
      <c r="B5" s="7" t="s">
        <v>81</v>
      </c>
      <c r="C5" s="7" t="s">
        <v>136</v>
      </c>
      <c r="D5" s="7" t="s">
        <v>137</v>
      </c>
      <c r="E5" s="16">
        <v>0.7</v>
      </c>
      <c r="F5" s="18">
        <v>320</v>
      </c>
      <c r="G5" s="8" t="s">
        <v>140</v>
      </c>
      <c r="K5" s="42">
        <v>367</v>
      </c>
      <c r="L5" s="42">
        <v>0.65</v>
      </c>
    </row>
    <row r="6" spans="1:13">
      <c r="A6" s="6" t="s">
        <v>78</v>
      </c>
      <c r="B6" s="7" t="s">
        <v>82</v>
      </c>
      <c r="C6" s="7" t="s">
        <v>50</v>
      </c>
      <c r="D6" s="7" t="s">
        <v>51</v>
      </c>
      <c r="E6" s="16">
        <v>0.7</v>
      </c>
      <c r="F6" s="18">
        <v>320</v>
      </c>
      <c r="G6" s="8" t="s">
        <v>140</v>
      </c>
      <c r="K6" s="42">
        <v>494</v>
      </c>
      <c r="L6" s="42">
        <v>0.73</v>
      </c>
    </row>
    <row r="7" spans="1:13" ht="25.5">
      <c r="A7" s="6" t="s">
        <v>78</v>
      </c>
      <c r="B7" s="7" t="s">
        <v>85</v>
      </c>
      <c r="C7" s="7" t="s">
        <v>68</v>
      </c>
      <c r="D7" s="7" t="s">
        <v>69</v>
      </c>
      <c r="E7" s="16">
        <v>0.7</v>
      </c>
      <c r="F7" s="18">
        <v>320</v>
      </c>
      <c r="G7" s="8" t="s">
        <v>140</v>
      </c>
      <c r="K7" s="42">
        <v>481</v>
      </c>
      <c r="L7" s="42">
        <v>0.62</v>
      </c>
    </row>
    <row r="8" spans="1:13" ht="25.5">
      <c r="A8" s="6" t="s">
        <v>78</v>
      </c>
      <c r="B8" s="7" t="s">
        <v>88</v>
      </c>
      <c r="C8" s="7" t="s">
        <v>138</v>
      </c>
      <c r="D8" s="7" t="s">
        <v>139</v>
      </c>
      <c r="E8" s="16">
        <v>0.85</v>
      </c>
      <c r="F8" s="18">
        <v>160</v>
      </c>
      <c r="G8" s="8" t="s">
        <v>140</v>
      </c>
      <c r="I8" t="s">
        <v>210</v>
      </c>
      <c r="J8" t="s">
        <v>211</v>
      </c>
      <c r="K8" s="42">
        <v>391</v>
      </c>
      <c r="L8" s="42">
        <v>0.6</v>
      </c>
    </row>
    <row r="9" spans="1:13" ht="40.5">
      <c r="A9" s="6" t="s">
        <v>78</v>
      </c>
      <c r="B9" s="7" t="s">
        <v>89</v>
      </c>
      <c r="C9" s="7" t="s">
        <v>200</v>
      </c>
      <c r="D9" s="7" t="s">
        <v>69</v>
      </c>
      <c r="E9" s="16">
        <v>0.7</v>
      </c>
      <c r="F9" s="18">
        <v>320</v>
      </c>
      <c r="G9" s="8" t="s">
        <v>140</v>
      </c>
      <c r="H9" t="s">
        <v>206</v>
      </c>
      <c r="I9" s="46" t="s">
        <v>210</v>
      </c>
      <c r="J9" t="s">
        <v>209</v>
      </c>
      <c r="K9" s="42">
        <v>588</v>
      </c>
      <c r="L9" s="42">
        <v>0.66</v>
      </c>
      <c r="M9" s="42">
        <v>18.5</v>
      </c>
    </row>
    <row r="10" spans="1:13">
      <c r="A10" s="6" t="s">
        <v>78</v>
      </c>
      <c r="B10" s="7" t="s">
        <v>90</v>
      </c>
      <c r="C10" s="7" t="s">
        <v>50</v>
      </c>
      <c r="D10" s="7" t="s">
        <v>51</v>
      </c>
      <c r="E10" s="16">
        <v>0.7</v>
      </c>
      <c r="F10" s="18">
        <v>320</v>
      </c>
      <c r="G10" s="8" t="s">
        <v>140</v>
      </c>
      <c r="K10" s="42">
        <v>709</v>
      </c>
      <c r="L10" s="42">
        <v>0.74</v>
      </c>
    </row>
    <row r="11" spans="1:13">
      <c r="A11" s="6" t="s">
        <v>78</v>
      </c>
      <c r="B11" s="7" t="s">
        <v>91</v>
      </c>
      <c r="C11" s="7" t="s">
        <v>39</v>
      </c>
      <c r="D11" s="7" t="s">
        <v>40</v>
      </c>
      <c r="E11" s="16">
        <v>0</v>
      </c>
      <c r="F11" s="18">
        <v>80</v>
      </c>
      <c r="G11" s="8" t="s">
        <v>203</v>
      </c>
      <c r="K11" s="42">
        <v>296</v>
      </c>
      <c r="L11" s="42">
        <v>0.86</v>
      </c>
    </row>
    <row r="12" spans="1:13" ht="25.5">
      <c r="A12" s="6" t="s">
        <v>78</v>
      </c>
      <c r="B12" s="7" t="s">
        <v>92</v>
      </c>
      <c r="C12" s="7" t="s">
        <v>68</v>
      </c>
      <c r="D12" s="7" t="s">
        <v>69</v>
      </c>
      <c r="E12" s="16">
        <v>0.7</v>
      </c>
      <c r="F12" s="18">
        <v>320</v>
      </c>
      <c r="G12" s="8" t="s">
        <v>140</v>
      </c>
      <c r="K12" s="42">
        <v>845</v>
      </c>
      <c r="L12" s="42">
        <v>0.69</v>
      </c>
    </row>
    <row r="13" spans="1:13">
      <c r="A13" s="6" t="s">
        <v>78</v>
      </c>
      <c r="B13" s="7" t="s">
        <v>93</v>
      </c>
      <c r="C13" s="7" t="s">
        <v>39</v>
      </c>
      <c r="D13" s="7" t="s">
        <v>40</v>
      </c>
      <c r="E13" s="16">
        <v>0</v>
      </c>
      <c r="F13" s="18">
        <v>80</v>
      </c>
      <c r="G13" s="8" t="s">
        <v>203</v>
      </c>
      <c r="K13" s="42">
        <v>350</v>
      </c>
      <c r="L13" s="42">
        <v>0.69</v>
      </c>
    </row>
    <row r="14" spans="1:13" ht="25.5">
      <c r="A14" s="6" t="s">
        <v>78</v>
      </c>
      <c r="B14" s="7" t="s">
        <v>94</v>
      </c>
      <c r="C14" s="7" t="s">
        <v>68</v>
      </c>
      <c r="D14" s="7" t="s">
        <v>69</v>
      </c>
      <c r="E14" s="16">
        <v>0.7</v>
      </c>
      <c r="F14" s="18">
        <v>320</v>
      </c>
      <c r="G14" s="8" t="s">
        <v>140</v>
      </c>
      <c r="K14" s="42">
        <v>785</v>
      </c>
      <c r="L14" s="42">
        <v>0.72</v>
      </c>
    </row>
    <row r="15" spans="1:13" ht="25.5">
      <c r="A15" s="6" t="s">
        <v>78</v>
      </c>
      <c r="B15" s="7" t="s">
        <v>144</v>
      </c>
      <c r="C15" s="7" t="s">
        <v>134</v>
      </c>
      <c r="D15" s="7" t="s">
        <v>135</v>
      </c>
      <c r="E15" s="16">
        <v>0</v>
      </c>
      <c r="F15" s="18">
        <v>80</v>
      </c>
      <c r="G15" s="8" t="s">
        <v>203</v>
      </c>
      <c r="K15" s="42">
        <v>196</v>
      </c>
      <c r="L15" s="42">
        <v>0.63</v>
      </c>
    </row>
    <row r="16" spans="1:13">
      <c r="A16" s="11" t="s">
        <v>78</v>
      </c>
      <c r="B16" s="12" t="s">
        <v>97</v>
      </c>
      <c r="C16" s="12" t="s">
        <v>145</v>
      </c>
      <c r="D16" s="12" t="s">
        <v>146</v>
      </c>
      <c r="E16" s="17">
        <v>0.7</v>
      </c>
      <c r="F16" s="19">
        <v>320</v>
      </c>
      <c r="G16" s="13" t="s">
        <v>140</v>
      </c>
      <c r="K16" s="42">
        <v>569</v>
      </c>
      <c r="L16" s="42">
        <v>0.93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125" defaultRowHeight="13.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65">
      <c r="A1" s="45" t="s">
        <v>147</v>
      </c>
      <c r="B1" s="45"/>
      <c r="C1" s="45"/>
      <c r="D1" s="45"/>
      <c r="E1" s="45"/>
      <c r="F1" s="45"/>
      <c r="G1" s="45"/>
      <c r="H1" s="45"/>
    </row>
    <row r="2" spans="1:8" ht="27.75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Building A</vt:lpstr>
      <vt:lpstr>Building B</vt:lpstr>
      <vt:lpstr>Building B - First Floor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William Wei</cp:lastModifiedBy>
  <dcterms:created xsi:type="dcterms:W3CDTF">2026-05-18T02:53:32Z</dcterms:created>
  <dcterms:modified xsi:type="dcterms:W3CDTF">2026-05-29T07:18:06Z</dcterms:modified>
</cp:coreProperties>
</file>