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Engineering\Stage3\Semester1\ELECTENG310\Alpha_Design_17\excel\"/>
    </mc:Choice>
  </mc:AlternateContent>
  <xr:revisionPtr revIDLastSave="0" documentId="13_ncr:1_{1AC5106B-583F-4D17-A2EA-8855C04F58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ilding A" sheetId="1" r:id="rId1"/>
    <sheet name="Building B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2" l="1"/>
  <c r="S27" i="2" s="1"/>
  <c r="R24" i="2"/>
  <c r="O35" i="2"/>
  <c r="S35" i="2" s="1"/>
  <c r="O36" i="2"/>
  <c r="S36" i="2" s="1"/>
  <c r="O37" i="2"/>
  <c r="S37" i="2" s="1"/>
  <c r="O38" i="2"/>
  <c r="S38" i="2" s="1"/>
  <c r="O25" i="2"/>
  <c r="S25" i="2" s="1"/>
  <c r="O26" i="2"/>
  <c r="S26" i="2" s="1"/>
  <c r="O28" i="2"/>
  <c r="S28" i="2" s="1"/>
  <c r="O29" i="2"/>
  <c r="S29" i="2" s="1"/>
  <c r="O30" i="2"/>
  <c r="S30" i="2" s="1"/>
  <c r="O31" i="2"/>
  <c r="S31" i="2" s="1"/>
  <c r="O32" i="2"/>
  <c r="S32" i="2" s="1"/>
  <c r="O33" i="2"/>
  <c r="S33" i="2" s="1"/>
  <c r="O34" i="2"/>
  <c r="S34" i="2" s="1"/>
  <c r="O24" i="2"/>
  <c r="S24" i="2" s="1"/>
  <c r="R35" i="2"/>
  <c r="R36" i="2"/>
  <c r="R37" i="2"/>
  <c r="R38" i="2"/>
  <c r="R34" i="2"/>
  <c r="R33" i="2"/>
  <c r="R32" i="2"/>
  <c r="R31" i="2"/>
  <c r="R30" i="2"/>
  <c r="R29" i="2"/>
  <c r="R28" i="2"/>
  <c r="R27" i="2"/>
  <c r="R26" i="2"/>
  <c r="Z25" i="2"/>
  <c r="R25" i="2"/>
  <c r="G25" i="2"/>
  <c r="G11" i="2"/>
  <c r="O11" i="2"/>
  <c r="R11" i="2"/>
  <c r="Z11" i="2"/>
  <c r="R4" i="2"/>
  <c r="R5" i="2"/>
  <c r="R6" i="2"/>
  <c r="R7" i="2"/>
  <c r="R8" i="2"/>
  <c r="R9" i="2"/>
  <c r="R10" i="2"/>
  <c r="R12" i="2"/>
  <c r="R13" i="2"/>
  <c r="R14" i="2"/>
  <c r="R15" i="2"/>
  <c r="R16" i="2"/>
  <c r="R17" i="2"/>
  <c r="R18" i="2"/>
  <c r="R19" i="2"/>
  <c r="R20" i="2"/>
  <c r="R21" i="2"/>
  <c r="R22" i="2"/>
  <c r="R23" i="2"/>
  <c r="R3" i="2"/>
  <c r="O4" i="2"/>
  <c r="O5" i="2"/>
  <c r="O6" i="2"/>
  <c r="O7" i="2"/>
  <c r="O8" i="2"/>
  <c r="O9" i="2"/>
  <c r="O10" i="2"/>
  <c r="O12" i="2"/>
  <c r="O13" i="2"/>
  <c r="O14" i="2"/>
  <c r="O15" i="2"/>
  <c r="O16" i="2"/>
  <c r="O17" i="2"/>
  <c r="O18" i="2"/>
  <c r="O19" i="2"/>
  <c r="O20" i="2"/>
  <c r="O21" i="2"/>
  <c r="O22" i="2"/>
  <c r="O23" i="2"/>
  <c r="O3" i="2"/>
  <c r="S36" i="1"/>
  <c r="R10" i="1"/>
  <c r="S10" i="1" s="1"/>
  <c r="R4" i="1"/>
  <c r="S4" i="1" s="1"/>
  <c r="S6" i="1"/>
  <c r="G33" i="2"/>
  <c r="D12" i="3"/>
  <c r="D11" i="3"/>
  <c r="D10" i="3"/>
  <c r="D9" i="3"/>
  <c r="D8" i="3"/>
  <c r="D7" i="3"/>
  <c r="D6" i="3"/>
  <c r="D5" i="3"/>
  <c r="D4" i="3"/>
  <c r="D3" i="3"/>
  <c r="Z38" i="2"/>
  <c r="G38" i="2"/>
  <c r="Z37" i="2"/>
  <c r="G37" i="2"/>
  <c r="Z36" i="2"/>
  <c r="G36" i="2"/>
  <c r="Z35" i="2"/>
  <c r="G35" i="2"/>
  <c r="Z34" i="2"/>
  <c r="G34" i="2"/>
  <c r="Z33" i="2"/>
  <c r="Z32" i="2"/>
  <c r="G32" i="2"/>
  <c r="Z31" i="2"/>
  <c r="G31" i="2"/>
  <c r="Z30" i="2"/>
  <c r="G30" i="2"/>
  <c r="Z29" i="2"/>
  <c r="G29" i="2"/>
  <c r="Z28" i="2"/>
  <c r="G28" i="2"/>
  <c r="Z27" i="2"/>
  <c r="G27" i="2"/>
  <c r="Z26" i="2"/>
  <c r="G26" i="2"/>
  <c r="Z24" i="2"/>
  <c r="G24" i="2"/>
  <c r="Z23" i="2"/>
  <c r="G23" i="2"/>
  <c r="Z22" i="2"/>
  <c r="G22" i="2"/>
  <c r="Z21" i="2"/>
  <c r="G21" i="2"/>
  <c r="Z20" i="2"/>
  <c r="G20" i="2"/>
  <c r="Z19" i="2"/>
  <c r="G19" i="2"/>
  <c r="Z18" i="2"/>
  <c r="G18" i="2"/>
  <c r="Z17" i="2"/>
  <c r="G17" i="2"/>
  <c r="Z16" i="2"/>
  <c r="G16" i="2"/>
  <c r="Z15" i="2"/>
  <c r="G15" i="2"/>
  <c r="Z14" i="2"/>
  <c r="G14" i="2"/>
  <c r="Z13" i="2"/>
  <c r="G13" i="2"/>
  <c r="Z12" i="2"/>
  <c r="G12" i="2"/>
  <c r="Z10" i="2"/>
  <c r="G10" i="2"/>
  <c r="Z9" i="2"/>
  <c r="G9" i="2"/>
  <c r="Z8" i="2"/>
  <c r="G8" i="2"/>
  <c r="Z7" i="2"/>
  <c r="G7" i="2"/>
  <c r="Z6" i="2"/>
  <c r="G6" i="2"/>
  <c r="Z5" i="2"/>
  <c r="G5" i="2"/>
  <c r="Z4" i="2"/>
  <c r="G4" i="2"/>
  <c r="Z3" i="2"/>
  <c r="G3" i="2"/>
  <c r="Z36" i="1"/>
  <c r="G36" i="1"/>
  <c r="Z35" i="1"/>
  <c r="S35" i="1"/>
  <c r="G35" i="1"/>
  <c r="Z34" i="1"/>
  <c r="S34" i="1"/>
  <c r="G34" i="1"/>
  <c r="Z33" i="1"/>
  <c r="S33" i="1"/>
  <c r="G33" i="1"/>
  <c r="Z32" i="1"/>
  <c r="S32" i="1"/>
  <c r="G32" i="1"/>
  <c r="Z31" i="1"/>
  <c r="S31" i="1"/>
  <c r="G31" i="1"/>
  <c r="Z30" i="1"/>
  <c r="S30" i="1"/>
  <c r="G30" i="1"/>
  <c r="Z29" i="1"/>
  <c r="S29" i="1"/>
  <c r="G29" i="1"/>
  <c r="Z28" i="1"/>
  <c r="S28" i="1"/>
  <c r="G28" i="1"/>
  <c r="Z27" i="1"/>
  <c r="S27" i="1"/>
  <c r="G27" i="1"/>
  <c r="Z26" i="1"/>
  <c r="S26" i="1"/>
  <c r="G26" i="1"/>
  <c r="Z25" i="1"/>
  <c r="S25" i="1"/>
  <c r="G25" i="1"/>
  <c r="Z24" i="1"/>
  <c r="S24" i="1"/>
  <c r="G24" i="1"/>
  <c r="Z23" i="1"/>
  <c r="S23" i="1"/>
  <c r="G23" i="1"/>
  <c r="Z22" i="1"/>
  <c r="S22" i="1"/>
  <c r="G22" i="1"/>
  <c r="Z21" i="1"/>
  <c r="S21" i="1"/>
  <c r="AA21" i="1" s="1"/>
  <c r="G21" i="1"/>
  <c r="Z20" i="1"/>
  <c r="S20" i="1"/>
  <c r="G20" i="1"/>
  <c r="Z19" i="1"/>
  <c r="S19" i="1"/>
  <c r="G19" i="1"/>
  <c r="Z18" i="1"/>
  <c r="S18" i="1"/>
  <c r="G18" i="1"/>
  <c r="Z17" i="1"/>
  <c r="S17" i="1"/>
  <c r="G17" i="1"/>
  <c r="Z16" i="1"/>
  <c r="S16" i="1"/>
  <c r="G16" i="1"/>
  <c r="Z15" i="1"/>
  <c r="S15" i="1"/>
  <c r="G15" i="1"/>
  <c r="Z14" i="1"/>
  <c r="S14" i="1"/>
  <c r="G14" i="1"/>
  <c r="Z13" i="1"/>
  <c r="S13" i="1"/>
  <c r="AA13" i="1" s="1"/>
  <c r="G13" i="1"/>
  <c r="Z12" i="1"/>
  <c r="S12" i="1"/>
  <c r="G12" i="1"/>
  <c r="Z11" i="1"/>
  <c r="S11" i="1"/>
  <c r="G11" i="1"/>
  <c r="Z10" i="1"/>
  <c r="G10" i="1"/>
  <c r="Z9" i="1"/>
  <c r="S9" i="1"/>
  <c r="G9" i="1"/>
  <c r="Z8" i="1"/>
  <c r="S8" i="1"/>
  <c r="G8" i="1"/>
  <c r="Z7" i="1"/>
  <c r="S7" i="1"/>
  <c r="G7" i="1"/>
  <c r="Z6" i="1"/>
  <c r="G6" i="1"/>
  <c r="Z5" i="1"/>
  <c r="S5" i="1"/>
  <c r="AA5" i="1" s="1"/>
  <c r="G5" i="1"/>
  <c r="Z4" i="1"/>
  <c r="G4" i="1"/>
  <c r="Z3" i="1"/>
  <c r="S3" i="1"/>
  <c r="G3" i="1"/>
  <c r="AA7" i="1" l="1"/>
  <c r="AA32" i="1"/>
  <c r="AA14" i="1"/>
  <c r="AA9" i="1"/>
  <c r="AA16" i="1"/>
  <c r="AA18" i="1"/>
  <c r="AA20" i="1"/>
  <c r="AA28" i="1"/>
  <c r="AA3" i="1"/>
  <c r="AA24" i="1"/>
  <c r="S14" i="2"/>
  <c r="AA14" i="2" s="1"/>
  <c r="S11" i="2"/>
  <c r="AA11" i="2" s="1"/>
  <c r="AA25" i="2"/>
  <c r="AA30" i="2"/>
  <c r="AA26" i="2"/>
  <c r="AA33" i="2"/>
  <c r="AA37" i="2"/>
  <c r="AA38" i="2"/>
  <c r="AA31" i="2"/>
  <c r="AA17" i="1"/>
  <c r="AA27" i="1"/>
  <c r="AA35" i="1"/>
  <c r="AA6" i="1"/>
  <c r="AA10" i="1"/>
  <c r="AA31" i="1"/>
  <c r="AA28" i="2"/>
  <c r="S5" i="2"/>
  <c r="AA5" i="2" s="1"/>
  <c r="AA34" i="2"/>
  <c r="S4" i="2"/>
  <c r="AA4" i="2" s="1"/>
  <c r="S3" i="2"/>
  <c r="AA3" i="2" s="1"/>
  <c r="S21" i="2"/>
  <c r="AA21" i="2" s="1"/>
  <c r="AA32" i="2"/>
  <c r="S23" i="2"/>
  <c r="AA23" i="2" s="1"/>
  <c r="S22" i="2"/>
  <c r="AA22" i="2" s="1"/>
  <c r="AA24" i="2"/>
  <c r="S20" i="2"/>
  <c r="AA20" i="2" s="1"/>
  <c r="S19" i="2"/>
  <c r="AA19" i="2" s="1"/>
  <c r="S16" i="2"/>
  <c r="AA16" i="2" s="1"/>
  <c r="S15" i="2"/>
  <c r="AA15" i="2" s="1"/>
  <c r="S13" i="2"/>
  <c r="AA13" i="2" s="1"/>
  <c r="S12" i="2"/>
  <c r="AA12" i="2" s="1"/>
  <c r="S10" i="2"/>
  <c r="AA10" i="2" s="1"/>
  <c r="S8" i="2"/>
  <c r="AA8" i="2" s="1"/>
  <c r="AA27" i="2"/>
  <c r="S7" i="2"/>
  <c r="AA7" i="2" s="1"/>
  <c r="S9" i="2"/>
  <c r="AA9" i="2" s="1"/>
  <c r="S6" i="2"/>
  <c r="AA6" i="2" s="1"/>
  <c r="S18" i="2"/>
  <c r="AA18" i="2" s="1"/>
  <c r="AA29" i="2"/>
  <c r="S17" i="2"/>
  <c r="AA17" i="2" s="1"/>
  <c r="AA36" i="2"/>
  <c r="AA35" i="2"/>
  <c r="AA8" i="1"/>
  <c r="AA19" i="1"/>
  <c r="AA12" i="1"/>
  <c r="AA23" i="1"/>
  <c r="AA25" i="1"/>
  <c r="AA29" i="1"/>
  <c r="AA34" i="1"/>
  <c r="AA30" i="1"/>
  <c r="AA11" i="1"/>
  <c r="AA22" i="1"/>
  <c r="AA33" i="1"/>
  <c r="AA36" i="1"/>
  <c r="AA4" i="1"/>
  <c r="AA15" i="1"/>
  <c r="AA26" i="1"/>
</calcChain>
</file>

<file path=xl/sharedStrings.xml><?xml version="1.0" encoding="utf-8"?>
<sst xmlns="http://schemas.openxmlformats.org/spreadsheetml/2006/main" count="996" uniqueCount="201">
  <si>
    <t>Building A — Lighting Place Schedule</t>
  </si>
  <si>
    <t>Floor</t>
  </si>
  <si>
    <t>Room No.</t>
  </si>
  <si>
    <t>Place</t>
  </si>
  <si>
    <t>Task / Area Type</t>
  </si>
  <si>
    <t>Workplane Height (m)</t>
  </si>
  <si>
    <t>Target Maintained lx</t>
  </si>
  <si>
    <t>Initial Target lx (MF 0.8)</t>
  </si>
  <si>
    <t>g1 Uniformity Target</t>
  </si>
  <si>
    <t>Glare / Design Notes</t>
  </si>
  <si>
    <t>AS/NZS 1680 Reference</t>
  </si>
  <si>
    <t>Measurement Note</t>
  </si>
  <si>
    <t>Existing Luminaire</t>
  </si>
  <si>
    <t>Existing Qty</t>
  </si>
  <si>
    <t>Existing W each</t>
  </si>
  <si>
    <t>Existing Total W</t>
  </si>
  <si>
    <t>Proposed Luminaire</t>
  </si>
  <si>
    <t>Proposed Qty</t>
  </si>
  <si>
    <t>Proposed W each</t>
  </si>
  <si>
    <t>Proposed Total W</t>
  </si>
  <si>
    <t>Estimated Saving W</t>
  </si>
  <si>
    <t>Status</t>
  </si>
  <si>
    <t>Ground</t>
  </si>
  <si>
    <t>101</t>
  </si>
  <si>
    <t>Stairs</t>
  </si>
  <si>
    <t>Stairs / circulation</t>
  </si>
  <si>
    <t>≥ 0.3 along route</t>
  </si>
  <si>
    <t>Control glare; light stair treads evenly</t>
  </si>
  <si>
    <t>AS/NZS 1680.2.1 internal stairs</t>
  </si>
  <si>
    <t>Measure on stair tread/floor path</t>
  </si>
  <si>
    <t>LED batten / linear</t>
  </si>
  <si>
    <t>To be assessed</t>
  </si>
  <si>
    <t>102</t>
  </si>
  <si>
    <t>Corridor / Lobby</t>
  </si>
  <si>
    <t>Corridor / passageway / lobby</t>
  </si>
  <si>
    <t>Avoid dark patches and glare</t>
  </si>
  <si>
    <t>AS/NZS 1680.2.1 corridors / circulation</t>
  </si>
  <si>
    <t>Floor-level calculation plane</t>
  </si>
  <si>
    <t>103</t>
  </si>
  <si>
    <t>Toilet</t>
  </si>
  <si>
    <t>Toilet / amenities</t>
  </si>
  <si>
    <t>≥ 0.3–0.5</t>
  </si>
  <si>
    <t>Comfortable general lighting; use IP-rated luminaire in wet areas</t>
  </si>
  <si>
    <t>AS/NZS 1680 comparable amenities</t>
  </si>
  <si>
    <t>Practical target for office amenities</t>
  </si>
  <si>
    <t>104</t>
  </si>
  <si>
    <t>105</t>
  </si>
  <si>
    <t>Toilet Disabled</t>
  </si>
  <si>
    <t>Toilet / accessible amenities</t>
  </si>
  <si>
    <t>106</t>
  </si>
  <si>
    <t>Meeting</t>
  </si>
  <si>
    <t>Meeting room</t>
  </si>
  <si>
    <t>≥ 0.7 on task area</t>
  </si>
  <si>
    <t>Low glare; allow presentation/screen use</t>
  </si>
  <si>
    <t>AS/NZS 1680.1 office meeting task</t>
  </si>
  <si>
    <t>Use dimming if presentation mode is required</t>
  </si>
  <si>
    <t>LED low-glare panel</t>
  </si>
  <si>
    <t>107</t>
  </si>
  <si>
    <t>108</t>
  </si>
  <si>
    <t>Corridor</t>
  </si>
  <si>
    <t>Corridor / passageway</t>
  </si>
  <si>
    <t>109</t>
  </si>
  <si>
    <t>Mail</t>
  </si>
  <si>
    <t>Office / mail task area</t>
  </si>
  <si>
    <t>Low glare, screen reflection control, CRI ≥80</t>
  </si>
  <si>
    <t>AS/NZS 1680.1 / 1680.2.2 office tasks</t>
  </si>
  <si>
    <t>Desk-height working plane</t>
  </si>
  <si>
    <t>110</t>
  </si>
  <si>
    <t>Office</t>
  </si>
  <si>
    <t>Office desk / screen work</t>
  </si>
  <si>
    <t>111</t>
  </si>
  <si>
    <t>CAD</t>
  </si>
  <si>
    <t>CAD / screen-based office work</t>
  </si>
  <si>
    <t>112</t>
  </si>
  <si>
    <t>113</t>
  </si>
  <si>
    <t>114</t>
  </si>
  <si>
    <t>Visitors</t>
  </si>
  <si>
    <t>Office / visitors / meeting</t>
  </si>
  <si>
    <t>First</t>
  </si>
  <si>
    <t>201A</t>
  </si>
  <si>
    <t>202</t>
  </si>
  <si>
    <t>203</t>
  </si>
  <si>
    <t>204</t>
  </si>
  <si>
    <t>Manager</t>
  </si>
  <si>
    <t>Manager office</t>
  </si>
  <si>
    <t>205</t>
  </si>
  <si>
    <t>Balcony</t>
  </si>
  <si>
    <t>Balcony / circulation</t>
  </si>
  <si>
    <t>206</t>
  </si>
  <si>
    <t>207</t>
  </si>
  <si>
    <t>208</t>
  </si>
  <si>
    <t>209</t>
  </si>
  <si>
    <t>210</t>
  </si>
  <si>
    <t>211</t>
  </si>
  <si>
    <t>212</t>
  </si>
  <si>
    <t>Common</t>
  </si>
  <si>
    <t>Common office / collaboration</t>
  </si>
  <si>
    <t>213</t>
  </si>
  <si>
    <t>214</t>
  </si>
  <si>
    <t>215</t>
  </si>
  <si>
    <t>216</t>
  </si>
  <si>
    <t>217</t>
  </si>
  <si>
    <t>218</t>
  </si>
  <si>
    <t>219</t>
  </si>
  <si>
    <t>220</t>
  </si>
  <si>
    <t>Building B — Lighting Place Schedule</t>
  </si>
  <si>
    <t>Storage</t>
  </si>
  <si>
    <t>Storage / occasional use</t>
  </si>
  <si>
    <t>Enough light for safe access</t>
  </si>
  <si>
    <t>AS/NZS 1680.2.1 comparable storage/movement</t>
  </si>
  <si>
    <t>Use 40 lx only if rarely entered; 80 lx safer</t>
  </si>
  <si>
    <t>Utility</t>
  </si>
  <si>
    <t>Utility / cleaner room</t>
  </si>
  <si>
    <t>Avoid glare; allow safe use of equipment</t>
  </si>
  <si>
    <t>AS/NZS 1680.2.1 comparable utility area</t>
  </si>
  <si>
    <t>Use 0.7 m if detailed work is done</t>
  </si>
  <si>
    <t>Shower</t>
  </si>
  <si>
    <t>Shower / amenities</t>
  </si>
  <si>
    <t>Corridor / Coffee</t>
  </si>
  <si>
    <t>Corridor / coffee area</t>
  </si>
  <si>
    <t>115</t>
  </si>
  <si>
    <t>Reception</t>
  </si>
  <si>
    <t>Reception / enquiry desk</t>
  </si>
  <si>
    <t>Good facial visibility; low glare</t>
  </si>
  <si>
    <t>AS/NZS 1680.1 enquiry desks / office tasks</t>
  </si>
  <si>
    <t>Desk/counter task plane</t>
  </si>
  <si>
    <t>116</t>
  </si>
  <si>
    <t>117</t>
  </si>
  <si>
    <t>118</t>
  </si>
  <si>
    <t>119</t>
  </si>
  <si>
    <t>120</t>
  </si>
  <si>
    <t>121</t>
  </si>
  <si>
    <t>201</t>
  </si>
  <si>
    <t>203A</t>
  </si>
  <si>
    <t>DB</t>
  </si>
  <si>
    <t>Electrical DB / utility</t>
  </si>
  <si>
    <t>Director</t>
  </si>
  <si>
    <t>Director office</t>
  </si>
  <si>
    <t>Kitchen</t>
  </si>
  <si>
    <t>Kitchen / kitchenette</t>
  </si>
  <si>
    <t>≥ 0.5</t>
  </si>
  <si>
    <t>Good bench visibility; avoid glare</t>
  </si>
  <si>
    <t>AS/NZS 1680.2.1 kitchen general</t>
  </si>
  <si>
    <t>Use 240 lx at food prep/washing-up benches</t>
  </si>
  <si>
    <t>212A</t>
  </si>
  <si>
    <t>Conference</t>
  </si>
  <si>
    <t>Conference room</t>
  </si>
  <si>
    <t>AS/NZS 1680 quick reference used in schedules</t>
  </si>
  <si>
    <t>Space / task</t>
  </si>
  <si>
    <t>Workplane height (m)</t>
  </si>
  <si>
    <t>Maintained lux</t>
  </si>
  <si>
    <t>Initial lux target (MF 0.8)</t>
  </si>
  <si>
    <t>g1 uniformity</t>
  </si>
  <si>
    <t>Glare note</t>
  </si>
  <si>
    <t>Reference basis</t>
  </si>
  <si>
    <t>Measurement note</t>
  </si>
  <si>
    <t>Low glare / UGR ≤19 preferred; control screen reflections</t>
  </si>
  <si>
    <t>Desk-height plane</t>
  </si>
  <si>
    <t>Meeting / conference</t>
  </si>
  <si>
    <t>Low glare; allow dimming for presentation</t>
  </si>
  <si>
    <t>AS/NZS 1680.1 comparable office task</t>
  </si>
  <si>
    <t>Table-height plane</t>
  </si>
  <si>
    <t>AS/NZS 1680.1 enquiry desks</t>
  </si>
  <si>
    <t>Counter/desk plane</t>
  </si>
  <si>
    <t>AS/NZS 1680.2.1 circulation</t>
  </si>
  <si>
    <t>Floor level</t>
  </si>
  <si>
    <t>Light treads evenly</t>
  </si>
  <si>
    <t>Stair tread/floor path</t>
  </si>
  <si>
    <t>Safe access lighting</t>
  </si>
  <si>
    <t>AS/NZS 1680.2.1 comparable storage</t>
  </si>
  <si>
    <t>Utility / DB</t>
  </si>
  <si>
    <t>Safe equipment access</t>
  </si>
  <si>
    <t>AS/NZS 1680 comparable utility</t>
  </si>
  <si>
    <t>Use actual task plane if needed</t>
  </si>
  <si>
    <t>Toilet / WC / shower</t>
  </si>
  <si>
    <t>Comfortable general lighting; IP-rated in wet areas</t>
  </si>
  <si>
    <t>Kitchen general</t>
  </si>
  <si>
    <t>Bench visibility</t>
  </si>
  <si>
    <t>Bench height</t>
  </si>
  <si>
    <t>Food prep / washing up</t>
  </si>
  <si>
    <t>Control glare on wet surfaces</t>
  </si>
  <si>
    <t>AS/NZS 1680.2.1 food preparation</t>
  </si>
  <si>
    <t>Existing Luminaire (1)</t>
  </si>
  <si>
    <t>Existing Luminaire (2)</t>
  </si>
  <si>
    <t>Existing Qty (2)</t>
  </si>
  <si>
    <t>Existing Illuminance (lx)</t>
  </si>
  <si>
    <t>Slope: 181 Flat: 237</t>
  </si>
  <si>
    <t>Slope: 267 Flat: 226</t>
  </si>
  <si>
    <t>Existing W</t>
  </si>
  <si>
    <t>Existing W (2)</t>
  </si>
  <si>
    <t>Philips 2x36W</t>
  </si>
  <si>
    <t>Philips 4x36W SLB</t>
  </si>
  <si>
    <t>UGR Restriction (Max)</t>
  </si>
  <si>
    <t>No specific UGR; control glare</t>
  </si>
  <si>
    <t>≤ 22</t>
  </si>
  <si>
    <t>≤ 19</t>
  </si>
  <si>
    <t>≤ 25</t>
  </si>
  <si>
    <t>Uniformity (Uo)</t>
  </si>
  <si>
    <t>Glare (UGGR)</t>
  </si>
  <si>
    <t>Uniformity (Uo) in x-direction (g1)</t>
  </si>
  <si>
    <t>Office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</si>
</sst>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name val="Carlito"/>
    </font>
    <font>
      <sz val="8"/>
      <name val="Carlito"/>
    </font>
    <font>
      <sz val="11"/>
      <name val="Carlito"/>
    </font>
    <font>
      <sz val="11"/>
      <color rgb="FF111827"/>
      <name val="Carlito"/>
    </font>
    <font>
      <sz val="10"/>
      <color rgb="FF111827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8FBF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D4ED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9"/>
    <xf numFmtId="0" fontId="5" fillId="0" borderId="9"/>
    <xf numFmtId="0" fontId="5" fillId="0" borderId="9"/>
    <xf numFmtId="0" fontId="5" fillId="0" borderId="9"/>
    <xf numFmtId="0" fontId="5" fillId="0" borderId="9"/>
  </cellStyleXfs>
  <cellXfs count="45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2" fontId="3" fillId="4" borderId="5" xfId="0" applyNumberFormat="1" applyFont="1" applyFill="1" applyBorder="1" applyAlignment="1">
      <alignment wrapText="1"/>
    </xf>
    <xf numFmtId="2" fontId="3" fillId="4" borderId="8" xfId="0" applyNumberFormat="1" applyFont="1" applyFill="1" applyBorder="1" applyAlignment="1">
      <alignment wrapText="1"/>
    </xf>
    <xf numFmtId="1" fontId="3" fillId="4" borderId="5" xfId="0" applyNumberFormat="1" applyFont="1" applyFill="1" applyBorder="1" applyAlignment="1">
      <alignment wrapText="1"/>
    </xf>
    <xf numFmtId="1" fontId="3" fillId="4" borderId="8" xfId="0" applyNumberFormat="1" applyFont="1" applyFill="1" applyBorder="1" applyAlignment="1">
      <alignment wrapText="1"/>
    </xf>
    <xf numFmtId="1" fontId="3" fillId="6" borderId="5" xfId="0" applyNumberFormat="1" applyFont="1" applyFill="1" applyBorder="1" applyAlignment="1">
      <alignment wrapText="1"/>
    </xf>
    <xf numFmtId="1" fontId="3" fillId="6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8" borderId="0" xfId="0" applyFill="1"/>
    <xf numFmtId="0" fontId="3" fillId="8" borderId="5" xfId="0" applyFont="1" applyFill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1" fontId="3" fillId="6" borderId="9" xfId="0" applyNumberFormat="1" applyFont="1" applyFill="1" applyBorder="1" applyAlignment="1">
      <alignment wrapText="1"/>
    </xf>
    <xf numFmtId="0" fontId="3" fillId="0" borderId="5" xfId="0" applyFont="1" applyBorder="1" applyAlignment="1">
      <alignment horizontal="left" wrapText="1"/>
    </xf>
    <xf numFmtId="1" fontId="3" fillId="9" borderId="9" xfId="0" applyNumberFormat="1" applyFont="1" applyFill="1" applyBorder="1" applyAlignment="1">
      <alignment wrapText="1"/>
    </xf>
    <xf numFmtId="0" fontId="2" fillId="10" borderId="9" xfId="2" applyFont="1" applyFill="1" applyAlignment="1">
      <alignment horizontal="center" vertical="center" wrapText="1"/>
    </xf>
    <xf numFmtId="0" fontId="6" fillId="5" borderId="9" xfId="2" applyFont="1" applyFill="1" applyAlignment="1">
      <alignment horizontal="center" vertical="center" wrapText="1"/>
    </xf>
    <xf numFmtId="0" fontId="2" fillId="10" borderId="9" xfId="3" applyFont="1" applyFill="1" applyAlignment="1">
      <alignment horizontal="center" vertical="center" wrapText="1"/>
    </xf>
    <xf numFmtId="0" fontId="7" fillId="5" borderId="9" xfId="5" applyFont="1" applyFill="1" applyAlignment="1">
      <alignment horizontal="center" vertical="top" wrapText="1"/>
    </xf>
    <xf numFmtId="0" fontId="3" fillId="11" borderId="9" xfId="5" applyFont="1" applyFill="1" applyAlignment="1">
      <alignment vertical="top" wrapText="1"/>
    </xf>
    <xf numFmtId="164" fontId="3" fillId="9" borderId="9" xfId="0" applyNumberFormat="1" applyFont="1" applyFill="1" applyBorder="1" applyAlignment="1">
      <alignment wrapText="1"/>
    </xf>
    <xf numFmtId="2" fontId="3" fillId="9" borderId="9" xfId="0" applyNumberFormat="1" applyFont="1" applyFill="1" applyBorder="1" applyAlignment="1">
      <alignment wrapText="1"/>
    </xf>
    <xf numFmtId="1" fontId="3" fillId="0" borderId="9" xfId="0" applyNumberFormat="1" applyFont="1" applyBorder="1" applyAlignment="1">
      <alignment wrapText="1"/>
    </xf>
    <xf numFmtId="2" fontId="3" fillId="12" borderId="9" xfId="0" applyNumberFormat="1" applyFont="1" applyFill="1" applyBorder="1" applyAlignment="1">
      <alignment wrapText="1"/>
    </xf>
    <xf numFmtId="1" fontId="3" fillId="13" borderId="9" xfId="0" applyNumberFormat="1" applyFont="1" applyFill="1" applyBorder="1" applyAlignment="1">
      <alignment wrapText="1"/>
    </xf>
    <xf numFmtId="2" fontId="3" fillId="14" borderId="9" xfId="0" applyNumberFormat="1" applyFont="1" applyFill="1" applyBorder="1" applyAlignment="1">
      <alignment wrapText="1"/>
    </xf>
    <xf numFmtId="164" fontId="3" fillId="14" borderId="9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3" fillId="6" borderId="9" xfId="0" applyNumberFormat="1" applyFont="1" applyFill="1" applyBorder="1" applyAlignment="1">
      <alignment wrapText="1"/>
    </xf>
  </cellXfs>
  <cellStyles count="6">
    <cellStyle name="Normal" xfId="0" builtinId="0"/>
    <cellStyle name="Normal 2" xfId="1" xr:uid="{2AA92BEB-B410-4070-B401-92FCF13F382F}"/>
    <cellStyle name="Normal 3" xfId="2" xr:uid="{1E9D80B0-E65E-4057-BA4F-9249344BC5A1}"/>
    <cellStyle name="Normal 4" xfId="3" xr:uid="{E1901BDC-6B84-4E66-86D1-52AE3CA3FF63}"/>
    <cellStyle name="Normal 5" xfId="4" xr:uid="{ED6D2035-F9DA-4B1D-B2ED-B5DB87628F59}"/>
    <cellStyle name="Normal 6" xfId="5" xr:uid="{FCC80704-4661-421C-AAE8-B6CB6410940C}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8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topLeftCell="L1" zoomScale="73" zoomScaleNormal="85" workbookViewId="0">
      <selection activeCell="AF24" sqref="AF24"/>
    </sheetView>
  </sheetViews>
  <sheetFormatPr defaultColWidth="8.796875" defaultRowHeight="13.8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customWidth="1"/>
    <col min="11" max="11" width="30" customWidth="1"/>
    <col min="12" max="12" width="34" customWidth="1"/>
    <col min="13" max="13" width="22" customWidth="1"/>
    <col min="14" max="15" width="12" customWidth="1"/>
    <col min="16" max="16" width="14" customWidth="1"/>
    <col min="17" max="17" width="8.296875" customWidth="1"/>
    <col min="18" max="20" width="12" customWidth="1"/>
    <col min="21" max="22" width="14" customWidth="1"/>
    <col min="23" max="23" width="16" customWidth="1"/>
  </cols>
  <sheetData>
    <row r="1" spans="1:28" ht="2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8" ht="41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0" t="s">
        <v>192</v>
      </c>
      <c r="J2" s="4" t="s">
        <v>9</v>
      </c>
      <c r="K2" s="4" t="s">
        <v>10</v>
      </c>
      <c r="L2" s="4" t="s">
        <v>11</v>
      </c>
      <c r="M2" s="4" t="s">
        <v>182</v>
      </c>
      <c r="N2" s="4" t="s">
        <v>13</v>
      </c>
      <c r="O2" s="4" t="s">
        <v>14</v>
      </c>
      <c r="P2" s="4" t="s">
        <v>183</v>
      </c>
      <c r="Q2" s="4" t="s">
        <v>13</v>
      </c>
      <c r="R2" s="4" t="s">
        <v>14</v>
      </c>
      <c r="S2" s="4" t="s">
        <v>15</v>
      </c>
      <c r="T2" s="26" t="s">
        <v>185</v>
      </c>
      <c r="U2" s="26" t="s">
        <v>197</v>
      </c>
      <c r="V2" s="26" t="s">
        <v>198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5" t="s">
        <v>21</v>
      </c>
    </row>
    <row r="3" spans="1:28" ht="27.6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31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v>72</v>
      </c>
      <c r="P3" s="24"/>
      <c r="Q3" s="24"/>
      <c r="R3" s="24"/>
      <c r="S3" s="20">
        <f>IF(OR(N3="",O3=""),"",N3*O3)</f>
        <v>72</v>
      </c>
      <c r="T3" s="27" t="s">
        <v>187</v>
      </c>
      <c r="U3" s="27"/>
      <c r="V3" s="27"/>
      <c r="W3" s="9" t="s">
        <v>30</v>
      </c>
      <c r="X3" s="9"/>
      <c r="Y3" s="20"/>
      <c r="Z3" s="20" t="str">
        <f>IF(OR(X3="",Y3=""),"",X3*Y3)</f>
        <v/>
      </c>
      <c r="AA3" s="20" t="str">
        <f t="shared" ref="AA3:AA36" si="1">IF(OR(S3="",Z3=""),"",S3-Z3)</f>
        <v/>
      </c>
      <c r="AB3" s="10" t="s">
        <v>31</v>
      </c>
    </row>
    <row r="4" spans="1:28" ht="27.6">
      <c r="A4" s="6" t="s">
        <v>22</v>
      </c>
      <c r="B4" s="7" t="s">
        <v>32</v>
      </c>
      <c r="C4" s="7" t="s">
        <v>33</v>
      </c>
      <c r="D4" s="7" t="s">
        <v>34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1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v>72</v>
      </c>
      <c r="P4" s="25" t="s">
        <v>191</v>
      </c>
      <c r="Q4" s="24">
        <v>5</v>
      </c>
      <c r="R4" s="24">
        <f>4*36</f>
        <v>144</v>
      </c>
      <c r="S4" s="20">
        <f>IF(OR(N4="",O4=""),"",N4*O4+R4)</f>
        <v>288</v>
      </c>
      <c r="T4" s="27">
        <v>503</v>
      </c>
      <c r="U4" s="27"/>
      <c r="V4" s="27"/>
      <c r="W4" s="9" t="s">
        <v>30</v>
      </c>
      <c r="X4" s="9"/>
      <c r="Y4" s="20"/>
      <c r="Z4" s="20" t="str">
        <f>IF(OR(X4="",Y4=""),"",X4*Y4)</f>
        <v/>
      </c>
      <c r="AA4" s="20" t="str">
        <f t="shared" si="1"/>
        <v/>
      </c>
      <c r="AB4" s="10" t="s">
        <v>31</v>
      </c>
    </row>
    <row r="5" spans="1:28" ht="26.4">
      <c r="A5" s="6" t="s">
        <v>22</v>
      </c>
      <c r="B5" s="7" t="s">
        <v>38</v>
      </c>
      <c r="C5" s="7" t="s">
        <v>39</v>
      </c>
      <c r="D5" s="7" t="s">
        <v>40</v>
      </c>
      <c r="E5" s="16">
        <v>0</v>
      </c>
      <c r="F5" s="18">
        <v>80</v>
      </c>
      <c r="G5" s="18">
        <f t="shared" si="0"/>
        <v>100</v>
      </c>
      <c r="H5" s="8" t="s">
        <v>41</v>
      </c>
      <c r="I5" s="31" t="s">
        <v>194</v>
      </c>
      <c r="J5" s="8" t="s">
        <v>42</v>
      </c>
      <c r="K5" s="8" t="s">
        <v>43</v>
      </c>
      <c r="L5" s="8" t="s">
        <v>44</v>
      </c>
      <c r="M5" s="9" t="s">
        <v>190</v>
      </c>
      <c r="N5" s="9">
        <v>1</v>
      </c>
      <c r="O5" s="20">
        <v>72</v>
      </c>
      <c r="P5" s="25"/>
      <c r="Q5" s="24"/>
      <c r="R5" s="24"/>
      <c r="S5" s="20">
        <f t="shared" ref="S5:S35" si="2">IF(OR(N5="",O5=""),"",N5*O5)</f>
        <v>72</v>
      </c>
      <c r="T5" s="27">
        <v>209</v>
      </c>
      <c r="U5" s="27"/>
      <c r="V5" s="27"/>
      <c r="W5" s="9" t="s">
        <v>30</v>
      </c>
      <c r="X5" s="9"/>
      <c r="Y5" s="20"/>
      <c r="Z5" s="20" t="str">
        <f t="shared" ref="Z5:Z36" si="3">IF(OR(X5="",Y5=""),"",X5*Y5)</f>
        <v/>
      </c>
      <c r="AA5" s="20" t="str">
        <f t="shared" si="1"/>
        <v/>
      </c>
      <c r="AB5" s="10" t="s">
        <v>31</v>
      </c>
    </row>
    <row r="6" spans="1:28" ht="26.4">
      <c r="A6" s="6" t="s">
        <v>22</v>
      </c>
      <c r="B6" s="7" t="s">
        <v>45</v>
      </c>
      <c r="C6" s="7" t="s">
        <v>39</v>
      </c>
      <c r="D6" s="7" t="s">
        <v>40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1" t="s">
        <v>194</v>
      </c>
      <c r="J6" s="8" t="s">
        <v>42</v>
      </c>
      <c r="K6" s="8" t="s">
        <v>43</v>
      </c>
      <c r="L6" s="8" t="s">
        <v>44</v>
      </c>
      <c r="M6" s="9" t="s">
        <v>190</v>
      </c>
      <c r="N6" s="9">
        <v>1</v>
      </c>
      <c r="O6" s="20">
        <v>72</v>
      </c>
      <c r="P6" s="24"/>
      <c r="Q6" s="24"/>
      <c r="R6" s="24"/>
      <c r="S6" s="20">
        <f t="shared" si="2"/>
        <v>72</v>
      </c>
      <c r="T6" s="27">
        <v>209</v>
      </c>
      <c r="U6" s="27"/>
      <c r="V6" s="27"/>
      <c r="W6" s="9" t="s">
        <v>30</v>
      </c>
      <c r="X6" s="9"/>
      <c r="Y6" s="20"/>
      <c r="Z6" s="20" t="str">
        <f t="shared" si="3"/>
        <v/>
      </c>
      <c r="AA6" s="20" t="str">
        <f t="shared" si="1"/>
        <v/>
      </c>
      <c r="AB6" s="10" t="s">
        <v>31</v>
      </c>
    </row>
    <row r="7" spans="1:28" ht="26.4">
      <c r="A7" s="6" t="s">
        <v>22</v>
      </c>
      <c r="B7" s="7" t="s">
        <v>46</v>
      </c>
      <c r="C7" s="7" t="s">
        <v>47</v>
      </c>
      <c r="D7" s="7" t="s">
        <v>48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1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v>72</v>
      </c>
      <c r="P7" s="24"/>
      <c r="Q7" s="24"/>
      <c r="R7" s="24"/>
      <c r="S7" s="20">
        <f t="shared" si="2"/>
        <v>72</v>
      </c>
      <c r="T7" s="27">
        <v>183</v>
      </c>
      <c r="U7" s="27"/>
      <c r="V7" s="27"/>
      <c r="W7" s="9" t="s">
        <v>30</v>
      </c>
      <c r="X7" s="9"/>
      <c r="Y7" s="20"/>
      <c r="Z7" s="20" t="str">
        <f t="shared" si="3"/>
        <v/>
      </c>
      <c r="AA7" s="20" t="str">
        <f t="shared" si="1"/>
        <v/>
      </c>
      <c r="AB7" s="10" t="s">
        <v>31</v>
      </c>
    </row>
    <row r="8" spans="1:28" ht="26.4">
      <c r="A8" s="6" t="s">
        <v>22</v>
      </c>
      <c r="B8" s="7" t="s">
        <v>49</v>
      </c>
      <c r="C8" s="7" t="s">
        <v>50</v>
      </c>
      <c r="D8" s="7" t="s">
        <v>51</v>
      </c>
      <c r="E8" s="16">
        <v>0.7</v>
      </c>
      <c r="F8" s="18">
        <v>320</v>
      </c>
      <c r="G8" s="18">
        <f t="shared" si="0"/>
        <v>400</v>
      </c>
      <c r="H8" s="8" t="s">
        <v>52</v>
      </c>
      <c r="I8" s="31" t="s">
        <v>195</v>
      </c>
      <c r="J8" s="8" t="s">
        <v>53</v>
      </c>
      <c r="K8" s="8" t="s">
        <v>54</v>
      </c>
      <c r="L8" s="8" t="s">
        <v>55</v>
      </c>
      <c r="M8" s="25" t="s">
        <v>191</v>
      </c>
      <c r="N8" s="9">
        <v>2</v>
      </c>
      <c r="O8" s="20">
        <v>144</v>
      </c>
      <c r="P8" s="24"/>
      <c r="Q8" s="24"/>
      <c r="R8" s="24"/>
      <c r="S8" s="20">
        <f t="shared" si="2"/>
        <v>288</v>
      </c>
      <c r="T8" s="27">
        <v>625</v>
      </c>
      <c r="U8" s="27"/>
      <c r="V8" s="27"/>
      <c r="W8" s="9" t="s">
        <v>56</v>
      </c>
      <c r="X8" s="9"/>
      <c r="Y8" s="20"/>
      <c r="Z8" s="20" t="str">
        <f t="shared" si="3"/>
        <v/>
      </c>
      <c r="AA8" s="20" t="str">
        <f t="shared" si="1"/>
        <v/>
      </c>
      <c r="AB8" s="10" t="s">
        <v>31</v>
      </c>
    </row>
    <row r="9" spans="1:28" ht="26.4">
      <c r="A9" s="6" t="s">
        <v>22</v>
      </c>
      <c r="B9" s="7" t="s">
        <v>57</v>
      </c>
      <c r="C9" s="7" t="s">
        <v>50</v>
      </c>
      <c r="D9" s="7" t="s">
        <v>51</v>
      </c>
      <c r="E9" s="16">
        <v>0.7</v>
      </c>
      <c r="F9" s="18">
        <v>320</v>
      </c>
      <c r="G9" s="18">
        <f t="shared" si="0"/>
        <v>400</v>
      </c>
      <c r="H9" s="8" t="s">
        <v>52</v>
      </c>
      <c r="I9" s="31" t="s">
        <v>195</v>
      </c>
      <c r="J9" s="8" t="s">
        <v>53</v>
      </c>
      <c r="K9" s="8" t="s">
        <v>54</v>
      </c>
      <c r="L9" s="8" t="s">
        <v>55</v>
      </c>
      <c r="M9" s="25" t="s">
        <v>191</v>
      </c>
      <c r="N9" s="9">
        <v>2</v>
      </c>
      <c r="O9" s="20">
        <v>144</v>
      </c>
      <c r="P9" s="24"/>
      <c r="Q9" s="24"/>
      <c r="R9" s="24"/>
      <c r="S9" s="20">
        <f t="shared" si="2"/>
        <v>288</v>
      </c>
      <c r="T9" s="27">
        <v>644</v>
      </c>
      <c r="U9" s="27"/>
      <c r="V9" s="27"/>
      <c r="W9" s="9" t="s">
        <v>56</v>
      </c>
      <c r="X9" s="9"/>
      <c r="Y9" s="20"/>
      <c r="Z9" s="20" t="str">
        <f t="shared" si="3"/>
        <v/>
      </c>
      <c r="AA9" s="20" t="str">
        <f t="shared" si="1"/>
        <v/>
      </c>
      <c r="AB9" s="10" t="s">
        <v>31</v>
      </c>
    </row>
    <row r="10" spans="1:28" ht="27.6">
      <c r="A10" s="6" t="s">
        <v>22</v>
      </c>
      <c r="B10" s="7" t="s">
        <v>58</v>
      </c>
      <c r="C10" s="7" t="s">
        <v>59</v>
      </c>
      <c r="D10" s="7" t="s">
        <v>60</v>
      </c>
      <c r="E10" s="16">
        <v>0</v>
      </c>
      <c r="F10" s="18">
        <v>40</v>
      </c>
      <c r="G10" s="18">
        <f t="shared" si="0"/>
        <v>50</v>
      </c>
      <c r="H10" s="8" t="s">
        <v>26</v>
      </c>
      <c r="I10" s="31" t="s">
        <v>193</v>
      </c>
      <c r="J10" s="8" t="s">
        <v>35</v>
      </c>
      <c r="K10" s="8" t="s">
        <v>36</v>
      </c>
      <c r="L10" s="8" t="s">
        <v>37</v>
      </c>
      <c r="M10" s="9" t="s">
        <v>190</v>
      </c>
      <c r="N10" s="9">
        <v>4</v>
      </c>
      <c r="O10" s="20">
        <v>72</v>
      </c>
      <c r="P10" s="25" t="s">
        <v>191</v>
      </c>
      <c r="Q10" s="24">
        <v>4</v>
      </c>
      <c r="R10" s="24">
        <f>4*36</f>
        <v>144</v>
      </c>
      <c r="S10" s="20">
        <f>IF(OR(N10="",O10=""),"",N10*O10+R10)</f>
        <v>432</v>
      </c>
      <c r="T10" s="27">
        <v>373</v>
      </c>
      <c r="U10" s="27"/>
      <c r="V10" s="27"/>
      <c r="W10" s="9" t="s">
        <v>30</v>
      </c>
      <c r="X10" s="9"/>
      <c r="Y10" s="20"/>
      <c r="Z10" s="20" t="str">
        <f t="shared" si="3"/>
        <v/>
      </c>
      <c r="AA10" s="20" t="str">
        <f t="shared" si="1"/>
        <v/>
      </c>
      <c r="AB10" s="10" t="s">
        <v>31</v>
      </c>
    </row>
    <row r="11" spans="1:28" ht="26.4">
      <c r="A11" s="6" t="s">
        <v>22</v>
      </c>
      <c r="B11" s="7" t="s">
        <v>61</v>
      </c>
      <c r="C11" s="7" t="s">
        <v>62</v>
      </c>
      <c r="D11" s="7" t="s">
        <v>63</v>
      </c>
      <c r="E11" s="16">
        <v>0.7</v>
      </c>
      <c r="F11" s="18">
        <v>320</v>
      </c>
      <c r="G11" s="18">
        <f t="shared" si="0"/>
        <v>400</v>
      </c>
      <c r="H11" s="8" t="s">
        <v>52</v>
      </c>
      <c r="I11" s="31" t="s">
        <v>195</v>
      </c>
      <c r="J11" s="8" t="s">
        <v>64</v>
      </c>
      <c r="K11" s="8" t="s">
        <v>65</v>
      </c>
      <c r="L11" s="8" t="s">
        <v>66</v>
      </c>
      <c r="M11" s="25" t="s">
        <v>191</v>
      </c>
      <c r="N11" s="9">
        <v>2</v>
      </c>
      <c r="O11" s="20">
        <v>144</v>
      </c>
      <c r="P11" s="24"/>
      <c r="Q11" s="24"/>
      <c r="R11" s="24"/>
      <c r="S11" s="20">
        <f t="shared" si="2"/>
        <v>288</v>
      </c>
      <c r="T11" s="27">
        <v>615</v>
      </c>
      <c r="U11" s="27"/>
      <c r="V11" s="27"/>
      <c r="W11" s="9" t="s">
        <v>56</v>
      </c>
      <c r="Y11" s="20"/>
      <c r="Z11" s="20" t="str">
        <f>IF(OR(X12="",Y11=""),"",X12*Y11)</f>
        <v/>
      </c>
      <c r="AA11" s="20" t="str">
        <f t="shared" si="1"/>
        <v/>
      </c>
      <c r="AB11" s="10" t="s">
        <v>31</v>
      </c>
    </row>
    <row r="12" spans="1:28" ht="26.4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1" t="s">
        <v>195</v>
      </c>
      <c r="J12" s="8" t="s">
        <v>64</v>
      </c>
      <c r="K12" s="8" t="s">
        <v>65</v>
      </c>
      <c r="L12" s="8" t="s">
        <v>66</v>
      </c>
      <c r="M12" s="25" t="s">
        <v>191</v>
      </c>
      <c r="N12" s="9">
        <v>4</v>
      </c>
      <c r="O12" s="20">
        <v>144</v>
      </c>
      <c r="P12" s="24"/>
      <c r="Q12" s="24"/>
      <c r="R12" s="24"/>
      <c r="S12" s="20">
        <f t="shared" si="2"/>
        <v>576</v>
      </c>
      <c r="T12" s="27">
        <v>836</v>
      </c>
      <c r="U12" s="27"/>
      <c r="V12" s="27"/>
      <c r="W12" s="9" t="s">
        <v>56</v>
      </c>
      <c r="X12" s="9"/>
      <c r="Y12" s="20"/>
      <c r="Z12" s="20" t="e">
        <f>IF(OR(#REF!="",Y12=""),"",#REF!*Y12)</f>
        <v>#REF!</v>
      </c>
      <c r="AA12" s="20" t="e">
        <f t="shared" si="1"/>
        <v>#REF!</v>
      </c>
      <c r="AB12" s="10" t="s">
        <v>31</v>
      </c>
    </row>
    <row r="13" spans="1:28" ht="26.4">
      <c r="A13" s="6" t="s">
        <v>22</v>
      </c>
      <c r="B13" s="7" t="s">
        <v>70</v>
      </c>
      <c r="C13" s="7" t="s">
        <v>71</v>
      </c>
      <c r="D13" s="7" t="s">
        <v>72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1" t="s">
        <v>195</v>
      </c>
      <c r="J13" s="8" t="s">
        <v>64</v>
      </c>
      <c r="K13" s="8" t="s">
        <v>65</v>
      </c>
      <c r="L13" s="8" t="s">
        <v>66</v>
      </c>
      <c r="M13" s="25" t="s">
        <v>191</v>
      </c>
      <c r="N13" s="9">
        <v>4</v>
      </c>
      <c r="O13" s="20">
        <v>144</v>
      </c>
      <c r="P13" s="24"/>
      <c r="Q13" s="24"/>
      <c r="R13" s="24"/>
      <c r="S13" s="20">
        <f t="shared" si="2"/>
        <v>576</v>
      </c>
      <c r="T13" s="27">
        <v>743</v>
      </c>
      <c r="U13" s="27"/>
      <c r="V13" s="44">
        <v>19.399999999999999</v>
      </c>
      <c r="W13" s="9" t="s">
        <v>56</v>
      </c>
      <c r="X13" s="9"/>
      <c r="Y13" s="20"/>
      <c r="Z13" s="20" t="str">
        <f t="shared" si="3"/>
        <v/>
      </c>
      <c r="AA13" s="20" t="str">
        <f t="shared" si="1"/>
        <v/>
      </c>
      <c r="AB13" s="10" t="s">
        <v>31</v>
      </c>
    </row>
    <row r="14" spans="1:28" ht="26.4">
      <c r="A14" s="6" t="s">
        <v>22</v>
      </c>
      <c r="B14" s="7" t="s">
        <v>73</v>
      </c>
      <c r="C14" s="7" t="s">
        <v>71</v>
      </c>
      <c r="D14" s="7" t="s">
        <v>72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1" t="s">
        <v>195</v>
      </c>
      <c r="J14" s="8" t="s">
        <v>64</v>
      </c>
      <c r="K14" s="8" t="s">
        <v>65</v>
      </c>
      <c r="L14" s="8" t="s">
        <v>66</v>
      </c>
      <c r="M14" s="25" t="s">
        <v>191</v>
      </c>
      <c r="N14" s="9">
        <v>6</v>
      </c>
      <c r="O14" s="20">
        <v>144</v>
      </c>
      <c r="P14" s="24"/>
      <c r="Q14" s="24"/>
      <c r="R14" s="24"/>
      <c r="S14" s="20">
        <f t="shared" si="2"/>
        <v>864</v>
      </c>
      <c r="T14" s="27">
        <v>1088</v>
      </c>
      <c r="U14" s="27"/>
      <c r="V14" s="44">
        <v>19.5</v>
      </c>
      <c r="W14" s="9" t="s">
        <v>56</v>
      </c>
      <c r="X14" s="9"/>
      <c r="Y14" s="20"/>
      <c r="Z14" s="20" t="str">
        <f t="shared" si="3"/>
        <v/>
      </c>
      <c r="AA14" s="20" t="str">
        <f t="shared" si="1"/>
        <v/>
      </c>
      <c r="AB14" s="10" t="s">
        <v>31</v>
      </c>
    </row>
    <row r="15" spans="1:28" ht="26.4">
      <c r="A15" s="6" t="s">
        <v>22</v>
      </c>
      <c r="B15" s="7" t="s">
        <v>74</v>
      </c>
      <c r="C15" s="7" t="s">
        <v>68</v>
      </c>
      <c r="D15" s="7" t="s">
        <v>69</v>
      </c>
      <c r="E15" s="16">
        <v>0.7</v>
      </c>
      <c r="F15" s="18">
        <v>320</v>
      </c>
      <c r="G15" s="18">
        <f t="shared" si="0"/>
        <v>400</v>
      </c>
      <c r="H15" s="8" t="s">
        <v>52</v>
      </c>
      <c r="I15" s="31" t="s">
        <v>195</v>
      </c>
      <c r="J15" s="8" t="s">
        <v>64</v>
      </c>
      <c r="K15" s="8" t="s">
        <v>65</v>
      </c>
      <c r="L15" s="8" t="s">
        <v>66</v>
      </c>
      <c r="M15" s="25" t="s">
        <v>191</v>
      </c>
      <c r="N15" s="9">
        <v>3</v>
      </c>
      <c r="O15" s="20">
        <v>144</v>
      </c>
      <c r="P15" s="24"/>
      <c r="Q15" s="24"/>
      <c r="R15" s="24"/>
      <c r="S15" s="20">
        <f t="shared" si="2"/>
        <v>432</v>
      </c>
      <c r="T15" s="27">
        <v>743</v>
      </c>
      <c r="U15" s="27"/>
      <c r="V15" s="27"/>
      <c r="W15" s="9" t="s">
        <v>56</v>
      </c>
      <c r="X15" s="9"/>
      <c r="Y15" s="20"/>
      <c r="Z15" s="20" t="str">
        <f t="shared" si="3"/>
        <v/>
      </c>
      <c r="AA15" s="20" t="str">
        <f t="shared" si="1"/>
        <v/>
      </c>
      <c r="AB15" s="10" t="s">
        <v>31</v>
      </c>
    </row>
    <row r="16" spans="1:28" ht="26.4">
      <c r="A16" s="6" t="s">
        <v>22</v>
      </c>
      <c r="B16" s="7" t="s">
        <v>75</v>
      </c>
      <c r="C16" s="7" t="s">
        <v>76</v>
      </c>
      <c r="D16" s="7" t="s">
        <v>77</v>
      </c>
      <c r="E16" s="16">
        <v>0.7</v>
      </c>
      <c r="F16" s="18">
        <v>160</v>
      </c>
      <c r="G16" s="18">
        <f t="shared" si="0"/>
        <v>200</v>
      </c>
      <c r="H16" s="8" t="s">
        <v>52</v>
      </c>
      <c r="I16" s="31" t="s">
        <v>195</v>
      </c>
      <c r="J16" s="8" t="s">
        <v>53</v>
      </c>
      <c r="K16" s="8" t="s">
        <v>54</v>
      </c>
      <c r="L16" s="8" t="s">
        <v>55</v>
      </c>
      <c r="M16" s="25" t="s">
        <v>191</v>
      </c>
      <c r="N16" s="9">
        <v>3</v>
      </c>
      <c r="O16" s="20">
        <v>144</v>
      </c>
      <c r="P16" s="24"/>
      <c r="Q16" s="24"/>
      <c r="R16" s="24"/>
      <c r="S16" s="20">
        <f t="shared" si="2"/>
        <v>432</v>
      </c>
      <c r="T16" s="27">
        <v>954</v>
      </c>
      <c r="U16" s="27"/>
      <c r="V16" s="27"/>
      <c r="W16" s="9" t="s">
        <v>56</v>
      </c>
      <c r="X16" s="9"/>
      <c r="Y16" s="20"/>
      <c r="Z16" s="20" t="str">
        <f t="shared" si="3"/>
        <v/>
      </c>
      <c r="AA16" s="20" t="str">
        <f t="shared" si="1"/>
        <v/>
      </c>
      <c r="AB16" s="10" t="s">
        <v>31</v>
      </c>
    </row>
    <row r="17" spans="1:28" ht="27.6">
      <c r="A17" s="6" t="s">
        <v>78</v>
      </c>
      <c r="B17" s="7" t="s">
        <v>79</v>
      </c>
      <c r="C17" s="7" t="s">
        <v>24</v>
      </c>
      <c r="D17" s="7" t="s">
        <v>25</v>
      </c>
      <c r="E17" s="16">
        <v>0</v>
      </c>
      <c r="F17" s="18">
        <v>80</v>
      </c>
      <c r="G17" s="18">
        <f t="shared" si="0"/>
        <v>100</v>
      </c>
      <c r="H17" s="8" t="s">
        <v>26</v>
      </c>
      <c r="I17" s="31" t="s">
        <v>193</v>
      </c>
      <c r="J17" s="8" t="s">
        <v>27</v>
      </c>
      <c r="K17" s="8" t="s">
        <v>28</v>
      </c>
      <c r="L17" s="8" t="s">
        <v>29</v>
      </c>
      <c r="M17" s="9" t="s">
        <v>190</v>
      </c>
      <c r="N17" s="9">
        <v>1</v>
      </c>
      <c r="O17" s="20">
        <v>72</v>
      </c>
      <c r="P17" s="24"/>
      <c r="Q17" s="24"/>
      <c r="R17" s="24"/>
      <c r="S17" s="20">
        <f t="shared" si="2"/>
        <v>72</v>
      </c>
      <c r="T17" s="27">
        <v>150</v>
      </c>
      <c r="U17" s="27"/>
      <c r="V17" s="27"/>
      <c r="W17" s="9" t="s">
        <v>30</v>
      </c>
      <c r="X17" s="9"/>
      <c r="Y17" s="20"/>
      <c r="Z17" s="20" t="str">
        <f t="shared" si="3"/>
        <v/>
      </c>
      <c r="AA17" s="20" t="str">
        <f t="shared" si="1"/>
        <v/>
      </c>
      <c r="AB17" s="10" t="s">
        <v>31</v>
      </c>
    </row>
    <row r="18" spans="1:28" ht="27.6">
      <c r="A18" s="6" t="s">
        <v>78</v>
      </c>
      <c r="B18" s="7" t="s">
        <v>80</v>
      </c>
      <c r="C18" s="7" t="s">
        <v>59</v>
      </c>
      <c r="D18" s="7" t="s">
        <v>60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31" t="s">
        <v>193</v>
      </c>
      <c r="J18" s="8" t="s">
        <v>35</v>
      </c>
      <c r="K18" s="8" t="s">
        <v>36</v>
      </c>
      <c r="L18" s="8" t="s">
        <v>37</v>
      </c>
      <c r="M18" s="9" t="s">
        <v>190</v>
      </c>
      <c r="N18" s="9">
        <v>4</v>
      </c>
      <c r="O18" s="20">
        <v>72</v>
      </c>
      <c r="P18" s="24"/>
      <c r="Q18" s="24"/>
      <c r="R18" s="24"/>
      <c r="S18" s="20">
        <f t="shared" si="2"/>
        <v>288</v>
      </c>
      <c r="T18" s="27">
        <v>140</v>
      </c>
      <c r="U18" s="27"/>
      <c r="V18" s="27"/>
      <c r="W18" s="9" t="s">
        <v>30</v>
      </c>
      <c r="X18" s="9"/>
      <c r="Y18" s="20"/>
      <c r="Z18" s="20" t="str">
        <f t="shared" si="3"/>
        <v/>
      </c>
      <c r="AA18" s="20" t="str">
        <f t="shared" si="1"/>
        <v/>
      </c>
      <c r="AB18" s="10" t="s">
        <v>31</v>
      </c>
    </row>
    <row r="19" spans="1:28" ht="26.4">
      <c r="A19" s="6" t="s">
        <v>78</v>
      </c>
      <c r="B19" s="7" t="s">
        <v>81</v>
      </c>
      <c r="C19" s="7" t="s">
        <v>50</v>
      </c>
      <c r="D19" s="7" t="s">
        <v>51</v>
      </c>
      <c r="E19" s="16">
        <v>0.7</v>
      </c>
      <c r="F19" s="18">
        <v>320</v>
      </c>
      <c r="G19" s="18">
        <f t="shared" si="0"/>
        <v>400</v>
      </c>
      <c r="H19" s="8" t="s">
        <v>52</v>
      </c>
      <c r="I19" s="31" t="s">
        <v>195</v>
      </c>
      <c r="J19" s="8" t="s">
        <v>53</v>
      </c>
      <c r="K19" s="8" t="s">
        <v>54</v>
      </c>
      <c r="L19" s="8" t="s">
        <v>55</v>
      </c>
      <c r="M19" s="9" t="s">
        <v>190</v>
      </c>
      <c r="N19" s="9">
        <v>2</v>
      </c>
      <c r="O19" s="20">
        <v>144</v>
      </c>
      <c r="P19" s="24"/>
      <c r="Q19" s="24"/>
      <c r="R19" s="24"/>
      <c r="S19" s="20">
        <f t="shared" si="2"/>
        <v>288</v>
      </c>
      <c r="T19" s="27">
        <v>331</v>
      </c>
      <c r="U19" s="27"/>
      <c r="V19" s="27"/>
      <c r="W19" s="9" t="s">
        <v>56</v>
      </c>
      <c r="X19" s="9"/>
      <c r="Y19" s="20"/>
      <c r="Z19" s="20" t="str">
        <f t="shared" si="3"/>
        <v/>
      </c>
      <c r="AA19" s="20" t="str">
        <f t="shared" si="1"/>
        <v/>
      </c>
      <c r="AB19" s="10" t="s">
        <v>31</v>
      </c>
    </row>
    <row r="20" spans="1:28" ht="26.4">
      <c r="A20" s="6" t="s">
        <v>78</v>
      </c>
      <c r="B20" s="7" t="s">
        <v>82</v>
      </c>
      <c r="C20" s="7" t="s">
        <v>83</v>
      </c>
      <c r="D20" s="7" t="s">
        <v>84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1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7</v>
      </c>
      <c r="O20" s="20">
        <v>144</v>
      </c>
      <c r="P20" s="24"/>
      <c r="Q20" s="24"/>
      <c r="R20" s="24"/>
      <c r="S20" s="20">
        <f t="shared" si="2"/>
        <v>1008</v>
      </c>
      <c r="T20" s="27">
        <v>470</v>
      </c>
      <c r="U20" s="27"/>
      <c r="V20" s="27"/>
      <c r="W20" s="9" t="s">
        <v>56</v>
      </c>
      <c r="X20" s="9"/>
      <c r="Y20" s="20"/>
      <c r="Z20" s="20" t="str">
        <f t="shared" si="3"/>
        <v/>
      </c>
      <c r="AA20" s="20" t="str">
        <f t="shared" si="1"/>
        <v/>
      </c>
      <c r="AB20" s="10" t="s">
        <v>31</v>
      </c>
    </row>
    <row r="21" spans="1:28" ht="27.6">
      <c r="A21" s="6" t="s">
        <v>78</v>
      </c>
      <c r="B21" s="7" t="s">
        <v>85</v>
      </c>
      <c r="C21" s="7" t="s">
        <v>86</v>
      </c>
      <c r="D21" s="7" t="s">
        <v>87</v>
      </c>
      <c r="E21" s="16">
        <v>0</v>
      </c>
      <c r="F21" s="18">
        <v>40</v>
      </c>
      <c r="G21" s="18">
        <f t="shared" si="0"/>
        <v>50</v>
      </c>
      <c r="H21" s="8" t="s">
        <v>26</v>
      </c>
      <c r="I21" s="31" t="s">
        <v>193</v>
      </c>
      <c r="J21" s="8" t="s">
        <v>35</v>
      </c>
      <c r="K21" s="8" t="s">
        <v>36</v>
      </c>
      <c r="L21" s="8" t="s">
        <v>37</v>
      </c>
      <c r="M21" s="9" t="s">
        <v>190</v>
      </c>
      <c r="N21" s="9">
        <v>1</v>
      </c>
      <c r="O21" s="20">
        <v>72</v>
      </c>
      <c r="P21" s="24"/>
      <c r="Q21" s="24"/>
      <c r="R21" s="24"/>
      <c r="S21" s="20">
        <f t="shared" si="2"/>
        <v>72</v>
      </c>
      <c r="T21" s="27">
        <v>181</v>
      </c>
      <c r="U21" s="27"/>
      <c r="V21" s="27"/>
      <c r="W21" s="9" t="s">
        <v>30</v>
      </c>
      <c r="X21" s="9"/>
      <c r="Y21" s="20"/>
      <c r="Z21" s="20" t="str">
        <f t="shared" si="3"/>
        <v/>
      </c>
      <c r="AA21" s="20" t="str">
        <f t="shared" si="1"/>
        <v/>
      </c>
      <c r="AB21" s="10" t="s">
        <v>31</v>
      </c>
    </row>
    <row r="22" spans="1:28" ht="26.4">
      <c r="A22" s="6" t="s">
        <v>78</v>
      </c>
      <c r="B22" s="7" t="s">
        <v>88</v>
      </c>
      <c r="C22" s="7" t="s">
        <v>39</v>
      </c>
      <c r="D22" s="7" t="s">
        <v>40</v>
      </c>
      <c r="E22" s="16">
        <v>0</v>
      </c>
      <c r="F22" s="18">
        <v>80</v>
      </c>
      <c r="G22" s="18">
        <f t="shared" si="0"/>
        <v>100</v>
      </c>
      <c r="H22" s="8" t="s">
        <v>41</v>
      </c>
      <c r="I22" s="31" t="s">
        <v>194</v>
      </c>
      <c r="J22" s="8" t="s">
        <v>42</v>
      </c>
      <c r="K22" s="8" t="s">
        <v>43</v>
      </c>
      <c r="L22" s="8" t="s">
        <v>44</v>
      </c>
      <c r="M22" s="9" t="s">
        <v>190</v>
      </c>
      <c r="N22" s="9">
        <v>2</v>
      </c>
      <c r="O22" s="20">
        <v>72</v>
      </c>
      <c r="P22" s="24"/>
      <c r="Q22" s="24"/>
      <c r="R22" s="24"/>
      <c r="S22" s="20">
        <f t="shared" si="2"/>
        <v>144</v>
      </c>
      <c r="T22" s="27">
        <v>269</v>
      </c>
      <c r="U22" s="27"/>
      <c r="V22" s="27"/>
      <c r="W22" s="9" t="s">
        <v>30</v>
      </c>
      <c r="X22" s="9"/>
      <c r="Y22" s="20"/>
      <c r="Z22" s="20" t="str">
        <f t="shared" si="3"/>
        <v/>
      </c>
      <c r="AA22" s="20" t="str">
        <f t="shared" si="1"/>
        <v/>
      </c>
      <c r="AB22" s="10" t="s">
        <v>31</v>
      </c>
    </row>
    <row r="23" spans="1:28" ht="26.4">
      <c r="A23" s="6" t="s">
        <v>78</v>
      </c>
      <c r="B23" s="7" t="s">
        <v>89</v>
      </c>
      <c r="C23" s="7" t="s">
        <v>68</v>
      </c>
      <c r="D23" s="7" t="s">
        <v>69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1" t="s">
        <v>195</v>
      </c>
      <c r="J23" s="8" t="s">
        <v>64</v>
      </c>
      <c r="K23" s="8" t="s">
        <v>65</v>
      </c>
      <c r="L23" s="8" t="s">
        <v>66</v>
      </c>
      <c r="M23" s="9" t="s">
        <v>190</v>
      </c>
      <c r="N23" s="9">
        <v>6</v>
      </c>
      <c r="O23" s="20">
        <v>144</v>
      </c>
      <c r="P23" s="24"/>
      <c r="Q23" s="24"/>
      <c r="R23" s="24"/>
      <c r="S23" s="20">
        <f t="shared" si="2"/>
        <v>864</v>
      </c>
      <c r="T23" s="27">
        <v>516</v>
      </c>
      <c r="U23" s="27"/>
      <c r="V23" s="27"/>
      <c r="W23" s="9" t="s">
        <v>56</v>
      </c>
      <c r="X23" s="9"/>
      <c r="Y23" s="20"/>
      <c r="Z23" s="20" t="str">
        <f t="shared" si="3"/>
        <v/>
      </c>
      <c r="AA23" s="20" t="str">
        <f t="shared" si="1"/>
        <v/>
      </c>
      <c r="AB23" s="10" t="s">
        <v>31</v>
      </c>
    </row>
    <row r="24" spans="1:28" ht="26.4">
      <c r="A24" s="6" t="s">
        <v>78</v>
      </c>
      <c r="B24" s="7" t="s">
        <v>90</v>
      </c>
      <c r="C24" s="7" t="s">
        <v>50</v>
      </c>
      <c r="D24" s="7" t="s">
        <v>51</v>
      </c>
      <c r="E24" s="16">
        <v>0.7</v>
      </c>
      <c r="F24" s="18">
        <v>320</v>
      </c>
      <c r="G24" s="18">
        <f t="shared" si="0"/>
        <v>400</v>
      </c>
      <c r="H24" s="8" t="s">
        <v>52</v>
      </c>
      <c r="I24" s="31" t="s">
        <v>195</v>
      </c>
      <c r="J24" s="8" t="s">
        <v>53</v>
      </c>
      <c r="K24" s="8" t="s">
        <v>54</v>
      </c>
      <c r="L24" s="8" t="s">
        <v>55</v>
      </c>
      <c r="M24" s="9" t="s">
        <v>190</v>
      </c>
      <c r="N24" s="9">
        <v>4</v>
      </c>
      <c r="O24" s="20">
        <v>144</v>
      </c>
      <c r="P24" s="24"/>
      <c r="Q24" s="24"/>
      <c r="R24" s="24"/>
      <c r="S24" s="20">
        <f t="shared" si="2"/>
        <v>576</v>
      </c>
      <c r="T24" s="27">
        <v>458</v>
      </c>
      <c r="U24" s="27"/>
      <c r="V24" s="27"/>
      <c r="W24" s="9" t="s">
        <v>56</v>
      </c>
      <c r="X24" s="9"/>
      <c r="Y24" s="20"/>
      <c r="Z24" s="20" t="str">
        <f t="shared" si="3"/>
        <v/>
      </c>
      <c r="AA24" s="20" t="str">
        <f t="shared" si="1"/>
        <v/>
      </c>
      <c r="AB24" s="10" t="s">
        <v>31</v>
      </c>
    </row>
    <row r="25" spans="1:28" ht="26.4">
      <c r="A25" s="6" t="s">
        <v>78</v>
      </c>
      <c r="B25" s="7" t="s">
        <v>91</v>
      </c>
      <c r="C25" s="7" t="s">
        <v>50</v>
      </c>
      <c r="D25" s="7" t="s">
        <v>51</v>
      </c>
      <c r="E25" s="16">
        <v>0.7</v>
      </c>
      <c r="F25" s="18">
        <v>320</v>
      </c>
      <c r="G25" s="18">
        <f t="shared" si="0"/>
        <v>400</v>
      </c>
      <c r="H25" s="8" t="s">
        <v>52</v>
      </c>
      <c r="I25" s="31" t="s">
        <v>195</v>
      </c>
      <c r="J25" s="8" t="s">
        <v>53</v>
      </c>
      <c r="K25" s="8" t="s">
        <v>54</v>
      </c>
      <c r="L25" s="8" t="s">
        <v>55</v>
      </c>
      <c r="M25" s="9" t="s">
        <v>190</v>
      </c>
      <c r="N25" s="9">
        <v>4</v>
      </c>
      <c r="O25" s="20">
        <v>144</v>
      </c>
      <c r="P25" s="24"/>
      <c r="Q25" s="24"/>
      <c r="R25" s="24"/>
      <c r="S25" s="20">
        <f t="shared" si="2"/>
        <v>576</v>
      </c>
      <c r="T25" s="27">
        <v>422</v>
      </c>
      <c r="U25" s="27"/>
      <c r="V25" s="27"/>
      <c r="W25" s="9" t="s">
        <v>56</v>
      </c>
      <c r="X25" s="9"/>
      <c r="Y25" s="20"/>
      <c r="Z25" s="20" t="str">
        <f t="shared" si="3"/>
        <v/>
      </c>
      <c r="AA25" s="20" t="str">
        <f t="shared" si="1"/>
        <v/>
      </c>
      <c r="AB25" s="10" t="s">
        <v>31</v>
      </c>
    </row>
    <row r="26" spans="1:28" ht="26.4">
      <c r="A26" s="6" t="s">
        <v>78</v>
      </c>
      <c r="B26" s="7" t="s">
        <v>92</v>
      </c>
      <c r="C26" s="7" t="s">
        <v>71</v>
      </c>
      <c r="D26" s="7" t="s">
        <v>72</v>
      </c>
      <c r="E26" s="16">
        <v>0.7</v>
      </c>
      <c r="F26" s="18">
        <v>320</v>
      </c>
      <c r="G26" s="18">
        <f t="shared" si="0"/>
        <v>400</v>
      </c>
      <c r="H26" s="8" t="s">
        <v>52</v>
      </c>
      <c r="I26" s="31" t="s">
        <v>195</v>
      </c>
      <c r="J26" s="8" t="s">
        <v>64</v>
      </c>
      <c r="K26" s="8" t="s">
        <v>65</v>
      </c>
      <c r="L26" s="8" t="s">
        <v>66</v>
      </c>
      <c r="M26" s="9" t="s">
        <v>190</v>
      </c>
      <c r="N26" s="9">
        <v>8</v>
      </c>
      <c r="O26" s="20">
        <v>144</v>
      </c>
      <c r="P26" s="24"/>
      <c r="Q26" s="24"/>
      <c r="R26" s="24"/>
      <c r="S26" s="20">
        <f t="shared" si="2"/>
        <v>1152</v>
      </c>
      <c r="T26" s="27">
        <v>455</v>
      </c>
      <c r="U26" s="27"/>
      <c r="V26" s="44">
        <v>22</v>
      </c>
      <c r="W26" s="9" t="s">
        <v>56</v>
      </c>
      <c r="X26" s="9"/>
      <c r="Y26" s="20"/>
      <c r="Z26" s="20" t="str">
        <f t="shared" si="3"/>
        <v/>
      </c>
      <c r="AA26" s="20" t="str">
        <f t="shared" si="1"/>
        <v/>
      </c>
      <c r="AB26" s="10" t="s">
        <v>31</v>
      </c>
    </row>
    <row r="27" spans="1:28" ht="27.6">
      <c r="A27" s="6" t="s">
        <v>78</v>
      </c>
      <c r="B27" s="7" t="s">
        <v>93</v>
      </c>
      <c r="C27" s="7" t="s">
        <v>59</v>
      </c>
      <c r="D27" s="7" t="s">
        <v>60</v>
      </c>
      <c r="E27" s="16">
        <v>0</v>
      </c>
      <c r="F27" s="18">
        <v>40</v>
      </c>
      <c r="G27" s="18">
        <f t="shared" si="0"/>
        <v>50</v>
      </c>
      <c r="H27" s="8" t="s">
        <v>26</v>
      </c>
      <c r="I27" s="31" t="s">
        <v>193</v>
      </c>
      <c r="J27" s="8" t="s">
        <v>35</v>
      </c>
      <c r="K27" s="8" t="s">
        <v>36</v>
      </c>
      <c r="L27" s="8" t="s">
        <v>37</v>
      </c>
      <c r="M27" s="9" t="s">
        <v>190</v>
      </c>
      <c r="N27" s="9">
        <v>8</v>
      </c>
      <c r="O27" s="20">
        <v>72</v>
      </c>
      <c r="P27" s="24"/>
      <c r="Q27" s="24"/>
      <c r="R27" s="24"/>
      <c r="S27" s="20">
        <f t="shared" si="2"/>
        <v>576</v>
      </c>
      <c r="T27" s="27">
        <v>133</v>
      </c>
      <c r="U27" s="27"/>
      <c r="V27" s="27"/>
      <c r="W27" s="9" t="s">
        <v>30</v>
      </c>
      <c r="X27" s="9"/>
      <c r="Y27" s="20"/>
      <c r="Z27" s="20" t="str">
        <f t="shared" si="3"/>
        <v/>
      </c>
      <c r="AA27" s="20" t="str">
        <f t="shared" si="1"/>
        <v/>
      </c>
      <c r="AB27" s="10" t="s">
        <v>31</v>
      </c>
    </row>
    <row r="28" spans="1:28" ht="26.4">
      <c r="A28" s="6" t="s">
        <v>78</v>
      </c>
      <c r="B28" s="7" t="s">
        <v>94</v>
      </c>
      <c r="C28" s="7" t="s">
        <v>95</v>
      </c>
      <c r="D28" s="7" t="s">
        <v>96</v>
      </c>
      <c r="E28" s="16">
        <v>0.7</v>
      </c>
      <c r="F28" s="18">
        <v>320</v>
      </c>
      <c r="G28" s="18">
        <f t="shared" si="0"/>
        <v>400</v>
      </c>
      <c r="H28" s="8" t="s">
        <v>52</v>
      </c>
      <c r="I28" s="31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8</v>
      </c>
      <c r="O28" s="20">
        <v>144</v>
      </c>
      <c r="P28" s="24"/>
      <c r="Q28" s="24"/>
      <c r="R28" s="24"/>
      <c r="S28" s="20">
        <f t="shared" si="2"/>
        <v>1152</v>
      </c>
      <c r="T28" s="27">
        <v>435</v>
      </c>
      <c r="U28" s="27"/>
      <c r="V28" s="27"/>
      <c r="W28" s="9" t="s">
        <v>56</v>
      </c>
      <c r="X28" s="9"/>
      <c r="Y28" s="20"/>
      <c r="Z28" s="20" t="str">
        <f t="shared" si="3"/>
        <v/>
      </c>
      <c r="AA28" s="20" t="str">
        <f t="shared" si="1"/>
        <v/>
      </c>
      <c r="AB28" s="10" t="s">
        <v>31</v>
      </c>
    </row>
    <row r="29" spans="1:28" ht="27.6">
      <c r="A29" s="6" t="s">
        <v>78</v>
      </c>
      <c r="B29" s="7" t="s">
        <v>97</v>
      </c>
      <c r="C29" s="7" t="s">
        <v>86</v>
      </c>
      <c r="D29" s="7" t="s">
        <v>87</v>
      </c>
      <c r="E29" s="16">
        <v>0</v>
      </c>
      <c r="F29" s="18">
        <v>40</v>
      </c>
      <c r="G29" s="18">
        <f t="shared" si="0"/>
        <v>50</v>
      </c>
      <c r="H29" s="8" t="s">
        <v>26</v>
      </c>
      <c r="I29" s="31" t="s">
        <v>193</v>
      </c>
      <c r="J29" s="8" t="s">
        <v>35</v>
      </c>
      <c r="K29" s="8" t="s">
        <v>36</v>
      </c>
      <c r="L29" s="8" t="s">
        <v>37</v>
      </c>
      <c r="M29" s="9" t="s">
        <v>190</v>
      </c>
      <c r="N29" s="9">
        <v>1</v>
      </c>
      <c r="O29" s="20">
        <v>72</v>
      </c>
      <c r="P29" s="24"/>
      <c r="Q29" s="24"/>
      <c r="R29" s="24"/>
      <c r="S29" s="20">
        <f t="shared" si="2"/>
        <v>72</v>
      </c>
      <c r="T29" s="27">
        <v>118</v>
      </c>
      <c r="U29" s="27"/>
      <c r="V29" s="27"/>
      <c r="W29" s="9" t="s">
        <v>30</v>
      </c>
      <c r="X29" s="9"/>
      <c r="Y29" s="20"/>
      <c r="Z29" s="20" t="str">
        <f t="shared" si="3"/>
        <v/>
      </c>
      <c r="AA29" s="20" t="str">
        <f t="shared" si="1"/>
        <v/>
      </c>
      <c r="AB29" s="10" t="s">
        <v>31</v>
      </c>
    </row>
    <row r="30" spans="1:28" ht="26.4">
      <c r="A30" s="6" t="s">
        <v>78</v>
      </c>
      <c r="B30" s="7" t="s">
        <v>98</v>
      </c>
      <c r="C30" s="7" t="s">
        <v>68</v>
      </c>
      <c r="D30" s="7" t="s">
        <v>69</v>
      </c>
      <c r="E30" s="16">
        <v>0.7</v>
      </c>
      <c r="F30" s="18">
        <v>320</v>
      </c>
      <c r="G30" s="18">
        <f t="shared" si="0"/>
        <v>400</v>
      </c>
      <c r="H30" s="8" t="s">
        <v>52</v>
      </c>
      <c r="I30" s="31" t="s">
        <v>195</v>
      </c>
      <c r="J30" s="8" t="s">
        <v>64</v>
      </c>
      <c r="K30" s="8" t="s">
        <v>65</v>
      </c>
      <c r="L30" s="8" t="s">
        <v>66</v>
      </c>
      <c r="M30" s="9" t="s">
        <v>190</v>
      </c>
      <c r="N30" s="9">
        <v>4</v>
      </c>
      <c r="O30" s="20">
        <v>144</v>
      </c>
      <c r="P30" s="24"/>
      <c r="Q30" s="24"/>
      <c r="R30" s="24"/>
      <c r="S30" s="20">
        <f t="shared" si="2"/>
        <v>576</v>
      </c>
      <c r="T30" s="27">
        <v>416</v>
      </c>
      <c r="U30" s="27"/>
      <c r="V30" s="27"/>
      <c r="W30" s="9" t="s">
        <v>56</v>
      </c>
      <c r="X30" s="9"/>
      <c r="Y30" s="20"/>
      <c r="Z30" s="20" t="str">
        <f t="shared" si="3"/>
        <v/>
      </c>
      <c r="AA30" s="20" t="str">
        <f t="shared" si="1"/>
        <v/>
      </c>
      <c r="AB30" s="10" t="s">
        <v>31</v>
      </c>
    </row>
    <row r="31" spans="1:28" ht="26.4">
      <c r="A31" s="6" t="s">
        <v>78</v>
      </c>
      <c r="B31" s="7" t="s">
        <v>99</v>
      </c>
      <c r="C31" s="7" t="s">
        <v>50</v>
      </c>
      <c r="D31" s="7" t="s">
        <v>51</v>
      </c>
      <c r="E31" s="16">
        <v>0.7</v>
      </c>
      <c r="F31" s="18">
        <v>320</v>
      </c>
      <c r="G31" s="18">
        <f t="shared" si="0"/>
        <v>400</v>
      </c>
      <c r="H31" s="8" t="s">
        <v>52</v>
      </c>
      <c r="I31" s="31" t="s">
        <v>195</v>
      </c>
      <c r="J31" s="8" t="s">
        <v>53</v>
      </c>
      <c r="K31" s="8" t="s">
        <v>54</v>
      </c>
      <c r="L31" s="8" t="s">
        <v>55</v>
      </c>
      <c r="M31" s="9" t="s">
        <v>190</v>
      </c>
      <c r="N31" s="9">
        <v>4</v>
      </c>
      <c r="O31" s="20">
        <v>144</v>
      </c>
      <c r="P31" s="24"/>
      <c r="Q31" s="24"/>
      <c r="R31" s="24"/>
      <c r="S31" s="20">
        <f t="shared" si="2"/>
        <v>576</v>
      </c>
      <c r="T31" s="27">
        <v>419</v>
      </c>
      <c r="U31" s="27"/>
      <c r="V31" s="27"/>
      <c r="W31" s="9" t="s">
        <v>56</v>
      </c>
      <c r="X31" s="9"/>
      <c r="Y31" s="20"/>
      <c r="Z31" s="20" t="str">
        <f t="shared" si="3"/>
        <v/>
      </c>
      <c r="AA31" s="20" t="str">
        <f t="shared" si="1"/>
        <v/>
      </c>
      <c r="AB31" s="10" t="s">
        <v>31</v>
      </c>
    </row>
    <row r="32" spans="1:28" ht="26.4">
      <c r="A32" s="6" t="s">
        <v>78</v>
      </c>
      <c r="B32" s="7" t="s">
        <v>100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0"/>
        <v>400</v>
      </c>
      <c r="H32" s="8" t="s">
        <v>52</v>
      </c>
      <c r="I32" s="31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4</v>
      </c>
      <c r="O32" s="20">
        <v>144</v>
      </c>
      <c r="P32" s="24"/>
      <c r="Q32" s="24"/>
      <c r="R32" s="24"/>
      <c r="S32" s="20">
        <f t="shared" si="2"/>
        <v>576</v>
      </c>
      <c r="T32" s="27">
        <v>400</v>
      </c>
      <c r="U32" s="27"/>
      <c r="V32" s="27"/>
      <c r="W32" s="9" t="s">
        <v>56</v>
      </c>
      <c r="X32" s="9"/>
      <c r="Y32" s="20"/>
      <c r="Z32" s="20" t="str">
        <f t="shared" si="3"/>
        <v/>
      </c>
      <c r="AA32" s="20" t="str">
        <f t="shared" si="1"/>
        <v/>
      </c>
      <c r="AB32" s="10" t="s">
        <v>31</v>
      </c>
    </row>
    <row r="33" spans="1:28" ht="26.4">
      <c r="A33" s="6" t="s">
        <v>78</v>
      </c>
      <c r="B33" s="7" t="s">
        <v>101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0"/>
        <v>100</v>
      </c>
      <c r="H33" s="8" t="s">
        <v>41</v>
      </c>
      <c r="I33" s="31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1</v>
      </c>
      <c r="O33" s="20">
        <v>72</v>
      </c>
      <c r="P33" s="24"/>
      <c r="Q33" s="24"/>
      <c r="R33" s="24"/>
      <c r="S33" s="20">
        <f t="shared" si="2"/>
        <v>72</v>
      </c>
      <c r="T33" s="27">
        <v>140</v>
      </c>
      <c r="U33" s="27"/>
      <c r="V33" s="27"/>
      <c r="W33" s="9" t="s">
        <v>30</v>
      </c>
      <c r="X33" s="9"/>
      <c r="Y33" s="20"/>
      <c r="Z33" s="20" t="str">
        <f t="shared" si="3"/>
        <v/>
      </c>
      <c r="AA33" s="20" t="str">
        <f t="shared" si="1"/>
        <v/>
      </c>
      <c r="AB33" s="10" t="s">
        <v>31</v>
      </c>
    </row>
    <row r="34" spans="1:28" ht="26.4">
      <c r="A34" s="6" t="s">
        <v>78</v>
      </c>
      <c r="B34" s="7" t="s">
        <v>102</v>
      </c>
      <c r="C34" s="7" t="s">
        <v>39</v>
      </c>
      <c r="D34" s="7" t="s">
        <v>40</v>
      </c>
      <c r="E34" s="16">
        <v>0</v>
      </c>
      <c r="F34" s="18">
        <v>80</v>
      </c>
      <c r="G34" s="18">
        <f t="shared" si="0"/>
        <v>100</v>
      </c>
      <c r="H34" s="8" t="s">
        <v>41</v>
      </c>
      <c r="I34" s="31" t="s">
        <v>194</v>
      </c>
      <c r="J34" s="8" t="s">
        <v>42</v>
      </c>
      <c r="K34" s="8" t="s">
        <v>43</v>
      </c>
      <c r="L34" s="8" t="s">
        <v>44</v>
      </c>
      <c r="M34" s="9" t="s">
        <v>190</v>
      </c>
      <c r="N34" s="9">
        <v>1</v>
      </c>
      <c r="O34" s="20">
        <v>72</v>
      </c>
      <c r="P34" s="24"/>
      <c r="Q34" s="24"/>
      <c r="R34" s="24"/>
      <c r="S34" s="20">
        <f t="shared" si="2"/>
        <v>72</v>
      </c>
      <c r="T34" s="27">
        <v>140</v>
      </c>
      <c r="U34" s="27"/>
      <c r="V34" s="27"/>
      <c r="W34" s="9" t="s">
        <v>30</v>
      </c>
      <c r="X34" s="9"/>
      <c r="Y34" s="20"/>
      <c r="Z34" s="20" t="str">
        <f t="shared" si="3"/>
        <v/>
      </c>
      <c r="AA34" s="20" t="str">
        <f t="shared" si="1"/>
        <v/>
      </c>
      <c r="AB34" s="10" t="s">
        <v>31</v>
      </c>
    </row>
    <row r="35" spans="1:28" ht="26.4">
      <c r="A35" s="6" t="s">
        <v>78</v>
      </c>
      <c r="B35" s="7" t="s">
        <v>103</v>
      </c>
      <c r="C35" s="7" t="s">
        <v>50</v>
      </c>
      <c r="D35" s="7" t="s">
        <v>51</v>
      </c>
      <c r="E35" s="16">
        <v>0.7</v>
      </c>
      <c r="F35" s="18">
        <v>320</v>
      </c>
      <c r="G35" s="18">
        <f t="shared" si="0"/>
        <v>400</v>
      </c>
      <c r="H35" s="8" t="s">
        <v>52</v>
      </c>
      <c r="I35" s="31" t="s">
        <v>195</v>
      </c>
      <c r="J35" s="8" t="s">
        <v>53</v>
      </c>
      <c r="K35" s="8" t="s">
        <v>54</v>
      </c>
      <c r="L35" s="8" t="s">
        <v>55</v>
      </c>
      <c r="M35" s="9" t="s">
        <v>190</v>
      </c>
      <c r="N35" s="9">
        <v>3</v>
      </c>
      <c r="O35" s="20">
        <v>144</v>
      </c>
      <c r="P35" s="24"/>
      <c r="Q35" s="24"/>
      <c r="R35" s="24"/>
      <c r="S35" s="20">
        <f t="shared" si="2"/>
        <v>432</v>
      </c>
      <c r="T35" s="27">
        <v>405</v>
      </c>
      <c r="U35" s="27"/>
      <c r="V35" s="27"/>
      <c r="W35" s="9" t="s">
        <v>56</v>
      </c>
      <c r="X35" s="9"/>
      <c r="Y35" s="20"/>
      <c r="Z35" s="20" t="str">
        <f t="shared" si="3"/>
        <v/>
      </c>
      <c r="AA35" s="20" t="str">
        <f t="shared" si="1"/>
        <v/>
      </c>
      <c r="AB35" s="10" t="s">
        <v>31</v>
      </c>
    </row>
    <row r="36" spans="1:28" ht="26.4">
      <c r="A36" s="11" t="s">
        <v>78</v>
      </c>
      <c r="B36" s="12" t="s">
        <v>104</v>
      </c>
      <c r="C36" s="12" t="s">
        <v>68</v>
      </c>
      <c r="D36" s="12" t="s">
        <v>69</v>
      </c>
      <c r="E36" s="17">
        <v>0.7</v>
      </c>
      <c r="F36" s="19">
        <v>320</v>
      </c>
      <c r="G36" s="19">
        <f t="shared" si="0"/>
        <v>400</v>
      </c>
      <c r="H36" s="13" t="s">
        <v>52</v>
      </c>
      <c r="I36" s="31" t="s">
        <v>195</v>
      </c>
      <c r="J36" s="13" t="s">
        <v>64</v>
      </c>
      <c r="K36" s="13" t="s">
        <v>65</v>
      </c>
      <c r="L36" s="13" t="s">
        <v>66</v>
      </c>
      <c r="M36" s="9" t="s">
        <v>190</v>
      </c>
      <c r="N36" s="14">
        <v>4</v>
      </c>
      <c r="O36" s="21">
        <v>144</v>
      </c>
      <c r="P36" s="24"/>
      <c r="Q36" s="24"/>
      <c r="R36" s="24"/>
      <c r="S36" s="21">
        <f>IF(OR(N36="",O36=""),"",N36*O36)</f>
        <v>576</v>
      </c>
      <c r="T36" s="27">
        <v>392</v>
      </c>
      <c r="U36" s="27"/>
      <c r="V36" s="27"/>
      <c r="W36" s="14" t="s">
        <v>56</v>
      </c>
      <c r="X36" s="14"/>
      <c r="Y36" s="21"/>
      <c r="Z36" s="21" t="str">
        <f t="shared" si="3"/>
        <v/>
      </c>
      <c r="AA36" s="21" t="str">
        <f t="shared" si="1"/>
        <v/>
      </c>
      <c r="AB36" s="15" t="s">
        <v>31</v>
      </c>
    </row>
  </sheetData>
  <mergeCells count="1">
    <mergeCell ref="A1:W1"/>
  </mergeCells>
  <conditionalFormatting sqref="T4:V36">
    <cfRule type="expression" dxfId="5" priority="1">
      <formula>$T4&lt;$F4</formula>
    </cfRule>
    <cfRule type="expression" dxfId="4" priority="2">
      <formula>$T4&gt;=$F4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"/>
  <sheetViews>
    <sheetView zoomScale="87" zoomScaleNormal="70" workbookViewId="0">
      <selection activeCell="V37" sqref="V37"/>
    </sheetView>
  </sheetViews>
  <sheetFormatPr defaultColWidth="8.796875" defaultRowHeight="13.8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hidden="1" customWidth="1"/>
    <col min="11" max="11" width="30" hidden="1" customWidth="1"/>
    <col min="12" max="12" width="34" hidden="1" customWidth="1"/>
    <col min="13" max="13" width="22" hidden="1" customWidth="1"/>
    <col min="14" max="15" width="12" hidden="1" customWidth="1"/>
    <col min="16" max="16" width="14" hidden="1" customWidth="1"/>
    <col min="17" max="17" width="15.69921875" hidden="1" customWidth="1"/>
    <col min="18" max="18" width="12" hidden="1" customWidth="1"/>
    <col min="19" max="20" width="14" hidden="1" customWidth="1"/>
    <col min="21" max="21" width="24" customWidth="1"/>
    <col min="22" max="23" width="12" customWidth="1"/>
    <col min="24" max="25" width="14" customWidth="1"/>
    <col min="26" max="26" width="16" customWidth="1"/>
  </cols>
  <sheetData>
    <row r="1" spans="1:28" ht="21">
      <c r="A1" s="42" t="s">
        <v>105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8" ht="41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2" t="s">
        <v>192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188</v>
      </c>
      <c r="P2" s="4" t="s">
        <v>183</v>
      </c>
      <c r="Q2" s="4" t="s">
        <v>184</v>
      </c>
      <c r="R2" s="4" t="s">
        <v>189</v>
      </c>
      <c r="S2" s="4" t="s">
        <v>15</v>
      </c>
      <c r="T2" s="26" t="s">
        <v>185</v>
      </c>
      <c r="U2" s="26" t="s">
        <v>199</v>
      </c>
      <c r="V2" s="26" t="s">
        <v>198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5" t="s">
        <v>21</v>
      </c>
    </row>
    <row r="3" spans="1:28" ht="26.4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24" si="0">ROUND(F3/0.8,0)</f>
        <v>100</v>
      </c>
      <c r="H3" s="8" t="s">
        <v>26</v>
      </c>
      <c r="I3" s="33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f>2*36*N3</f>
        <v>72</v>
      </c>
      <c r="P3" s="25" t="s">
        <v>191</v>
      </c>
      <c r="Q3" s="24">
        <v>0</v>
      </c>
      <c r="R3" s="24">
        <f>4*36*Q3</f>
        <v>0</v>
      </c>
      <c r="S3" s="20">
        <f>O3+R3</f>
        <v>72</v>
      </c>
      <c r="T3" s="27" t="s">
        <v>186</v>
      </c>
      <c r="U3" s="27"/>
      <c r="V3" s="27"/>
      <c r="W3" s="9" t="s">
        <v>30</v>
      </c>
      <c r="X3" s="9"/>
      <c r="Y3" s="20"/>
      <c r="Z3" s="20" t="str">
        <f t="shared" ref="Z3:Z24" si="1">IF(OR(X3="",Y3=""),"",X3*Y3)</f>
        <v/>
      </c>
      <c r="AA3" s="20" t="str">
        <f t="shared" ref="AA3:AA38" si="2">IF(OR(S3="",Z3=""),"",S3-Z3)</f>
        <v/>
      </c>
      <c r="AB3" s="10" t="s">
        <v>31</v>
      </c>
    </row>
    <row r="4" spans="1:28" ht="26.4">
      <c r="A4" s="6" t="s">
        <v>22</v>
      </c>
      <c r="B4" s="7" t="s">
        <v>32</v>
      </c>
      <c r="C4" s="7" t="s">
        <v>59</v>
      </c>
      <c r="D4" s="7" t="s">
        <v>60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3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f t="shared" ref="O4:O23" si="3">2*36*N4</f>
        <v>144</v>
      </c>
      <c r="P4" s="25" t="s">
        <v>191</v>
      </c>
      <c r="Q4" s="24">
        <v>5</v>
      </c>
      <c r="R4" s="24">
        <f t="shared" ref="R4:R24" si="4">4*36*Q4</f>
        <v>720</v>
      </c>
      <c r="S4" s="20">
        <f t="shared" ref="S4:S23" si="5">O4+R4</f>
        <v>864</v>
      </c>
      <c r="T4" s="27">
        <v>380</v>
      </c>
      <c r="U4" s="27"/>
      <c r="V4" s="27"/>
      <c r="W4" s="9" t="s">
        <v>30</v>
      </c>
      <c r="X4" s="9"/>
      <c r="Y4" s="20"/>
      <c r="Z4" s="20" t="str">
        <f t="shared" si="1"/>
        <v/>
      </c>
      <c r="AA4" s="20" t="str">
        <f t="shared" si="2"/>
        <v/>
      </c>
      <c r="AB4" s="10" t="s">
        <v>31</v>
      </c>
    </row>
    <row r="5" spans="1:28" ht="26.4">
      <c r="A5" s="6" t="s">
        <v>22</v>
      </c>
      <c r="B5" s="7" t="s">
        <v>38</v>
      </c>
      <c r="C5" s="7" t="s">
        <v>106</v>
      </c>
      <c r="D5" s="7" t="s">
        <v>107</v>
      </c>
      <c r="E5" s="16">
        <v>0</v>
      </c>
      <c r="F5" s="18">
        <v>40</v>
      </c>
      <c r="G5" s="18">
        <f t="shared" si="0"/>
        <v>50</v>
      </c>
      <c r="H5" s="8" t="s">
        <v>41</v>
      </c>
      <c r="I5" s="33" t="s">
        <v>196</v>
      </c>
      <c r="J5" s="8" t="s">
        <v>108</v>
      </c>
      <c r="K5" s="8" t="s">
        <v>109</v>
      </c>
      <c r="L5" s="8" t="s">
        <v>110</v>
      </c>
      <c r="M5" s="9" t="s">
        <v>190</v>
      </c>
      <c r="N5" s="9">
        <v>0</v>
      </c>
      <c r="O5" s="20">
        <f t="shared" si="3"/>
        <v>0</v>
      </c>
      <c r="P5" s="25" t="s">
        <v>191</v>
      </c>
      <c r="Q5" s="24">
        <v>1</v>
      </c>
      <c r="R5" s="24">
        <f t="shared" si="4"/>
        <v>144</v>
      </c>
      <c r="S5" s="20">
        <f t="shared" si="5"/>
        <v>144</v>
      </c>
      <c r="T5" s="27">
        <v>325</v>
      </c>
      <c r="U5" s="27"/>
      <c r="V5" s="27"/>
      <c r="W5" s="9" t="s">
        <v>30</v>
      </c>
      <c r="X5" s="9"/>
      <c r="Y5" s="20"/>
      <c r="Z5" s="20" t="str">
        <f t="shared" si="1"/>
        <v/>
      </c>
      <c r="AA5" s="20" t="str">
        <f t="shared" si="2"/>
        <v/>
      </c>
      <c r="AB5" s="10" t="s">
        <v>31</v>
      </c>
    </row>
    <row r="6" spans="1:28" ht="26.4">
      <c r="A6" s="6" t="s">
        <v>22</v>
      </c>
      <c r="B6" s="7" t="s">
        <v>45</v>
      </c>
      <c r="C6" s="7" t="s">
        <v>111</v>
      </c>
      <c r="D6" s="7" t="s">
        <v>112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3" t="s">
        <v>196</v>
      </c>
      <c r="J6" s="8" t="s">
        <v>113</v>
      </c>
      <c r="K6" s="8" t="s">
        <v>114</v>
      </c>
      <c r="L6" s="8" t="s">
        <v>115</v>
      </c>
      <c r="M6" s="9" t="s">
        <v>190</v>
      </c>
      <c r="N6" s="9">
        <v>1</v>
      </c>
      <c r="O6" s="20">
        <f t="shared" si="3"/>
        <v>72</v>
      </c>
      <c r="P6" s="25" t="s">
        <v>191</v>
      </c>
      <c r="Q6" s="24">
        <v>0</v>
      </c>
      <c r="R6" s="24">
        <f t="shared" si="4"/>
        <v>0</v>
      </c>
      <c r="S6" s="20">
        <f t="shared" si="5"/>
        <v>72</v>
      </c>
      <c r="T6" s="27">
        <v>205</v>
      </c>
      <c r="U6" s="27"/>
      <c r="V6" s="27"/>
      <c r="W6" s="9" t="s">
        <v>30</v>
      </c>
      <c r="X6" s="9"/>
      <c r="Y6" s="20"/>
      <c r="Z6" s="20" t="str">
        <f t="shared" si="1"/>
        <v/>
      </c>
      <c r="AA6" s="20" t="str">
        <f t="shared" si="2"/>
        <v/>
      </c>
      <c r="AB6" s="10" t="s">
        <v>31</v>
      </c>
    </row>
    <row r="7" spans="1:28" ht="26.4">
      <c r="A7" s="6" t="s">
        <v>22</v>
      </c>
      <c r="B7" s="7" t="s">
        <v>46</v>
      </c>
      <c r="C7" s="7" t="s">
        <v>39</v>
      </c>
      <c r="D7" s="7" t="s">
        <v>40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3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f t="shared" si="3"/>
        <v>72</v>
      </c>
      <c r="P7" s="25" t="s">
        <v>191</v>
      </c>
      <c r="Q7" s="24">
        <v>0</v>
      </c>
      <c r="R7" s="24">
        <f t="shared" si="4"/>
        <v>0</v>
      </c>
      <c r="S7" s="20">
        <f t="shared" si="5"/>
        <v>72</v>
      </c>
      <c r="T7" s="27">
        <v>201</v>
      </c>
      <c r="U7" s="27"/>
      <c r="V7" s="27"/>
      <c r="W7" s="9" t="s">
        <v>30</v>
      </c>
      <c r="X7" s="9"/>
      <c r="Y7" s="20"/>
      <c r="Z7" s="20" t="str">
        <f t="shared" si="1"/>
        <v/>
      </c>
      <c r="AA7" s="20" t="str">
        <f t="shared" si="2"/>
        <v/>
      </c>
      <c r="AB7" s="10" t="s">
        <v>31</v>
      </c>
    </row>
    <row r="8" spans="1:28" ht="26.4">
      <c r="A8" s="6" t="s">
        <v>22</v>
      </c>
      <c r="B8" s="7" t="s">
        <v>49</v>
      </c>
      <c r="C8" s="7" t="s">
        <v>39</v>
      </c>
      <c r="D8" s="7" t="s">
        <v>40</v>
      </c>
      <c r="E8" s="16">
        <v>0</v>
      </c>
      <c r="F8" s="18">
        <v>80</v>
      </c>
      <c r="G8" s="18">
        <f t="shared" si="0"/>
        <v>100</v>
      </c>
      <c r="H8" s="8" t="s">
        <v>41</v>
      </c>
      <c r="I8" s="33" t="s">
        <v>194</v>
      </c>
      <c r="J8" s="8" t="s">
        <v>42</v>
      </c>
      <c r="K8" s="8" t="s">
        <v>43</v>
      </c>
      <c r="L8" s="8" t="s">
        <v>44</v>
      </c>
      <c r="M8" s="9" t="s">
        <v>190</v>
      </c>
      <c r="N8" s="9">
        <v>1</v>
      </c>
      <c r="O8" s="20">
        <f t="shared" si="3"/>
        <v>72</v>
      </c>
      <c r="P8" s="25" t="s">
        <v>191</v>
      </c>
      <c r="Q8" s="24">
        <v>0</v>
      </c>
      <c r="R8" s="24">
        <f t="shared" si="4"/>
        <v>0</v>
      </c>
      <c r="S8" s="20">
        <f t="shared" si="5"/>
        <v>72</v>
      </c>
      <c r="T8" s="27">
        <v>186</v>
      </c>
      <c r="U8" s="27"/>
      <c r="V8" s="27"/>
      <c r="W8" s="9" t="s">
        <v>30</v>
      </c>
      <c r="X8" s="9"/>
      <c r="Y8" s="20"/>
      <c r="Z8" s="20" t="str">
        <f t="shared" si="1"/>
        <v/>
      </c>
      <c r="AA8" s="20" t="str">
        <f t="shared" si="2"/>
        <v/>
      </c>
      <c r="AB8" s="10" t="s">
        <v>31</v>
      </c>
    </row>
    <row r="9" spans="1:28" ht="26.4">
      <c r="A9" s="6" t="s">
        <v>22</v>
      </c>
      <c r="B9" s="7" t="s">
        <v>57</v>
      </c>
      <c r="C9" s="7" t="s">
        <v>116</v>
      </c>
      <c r="D9" s="7" t="s">
        <v>117</v>
      </c>
      <c r="E9" s="16">
        <v>0</v>
      </c>
      <c r="F9" s="18">
        <v>160</v>
      </c>
      <c r="G9" s="18">
        <f t="shared" si="0"/>
        <v>200</v>
      </c>
      <c r="H9" s="8" t="s">
        <v>41</v>
      </c>
      <c r="I9" s="33" t="s">
        <v>194</v>
      </c>
      <c r="J9" s="8" t="s">
        <v>42</v>
      </c>
      <c r="K9" s="8" t="s">
        <v>43</v>
      </c>
      <c r="L9" s="8" t="s">
        <v>44</v>
      </c>
      <c r="M9" s="9" t="s">
        <v>190</v>
      </c>
      <c r="N9" s="9">
        <v>1</v>
      </c>
      <c r="O9" s="20">
        <f t="shared" si="3"/>
        <v>72</v>
      </c>
      <c r="P9" s="25" t="s">
        <v>191</v>
      </c>
      <c r="Q9" s="24">
        <v>0</v>
      </c>
      <c r="R9" s="24">
        <f t="shared" si="4"/>
        <v>0</v>
      </c>
      <c r="S9" s="20">
        <f t="shared" si="5"/>
        <v>72</v>
      </c>
      <c r="T9" s="27">
        <v>187</v>
      </c>
      <c r="U9" s="27"/>
      <c r="V9" s="27"/>
      <c r="W9" s="9" t="s">
        <v>30</v>
      </c>
      <c r="X9" s="9"/>
      <c r="Y9" s="20"/>
      <c r="Z9" s="20" t="str">
        <f t="shared" si="1"/>
        <v/>
      </c>
      <c r="AA9" s="20" t="str">
        <f t="shared" si="2"/>
        <v/>
      </c>
      <c r="AB9" s="10" t="s">
        <v>31</v>
      </c>
    </row>
    <row r="10" spans="1:28" ht="26.4">
      <c r="A10" s="6" t="s">
        <v>22</v>
      </c>
      <c r="B10" s="7" t="s">
        <v>58</v>
      </c>
      <c r="C10" s="7" t="s">
        <v>68</v>
      </c>
      <c r="D10" s="7" t="s">
        <v>69</v>
      </c>
      <c r="E10" s="16">
        <v>0.7</v>
      </c>
      <c r="F10" s="18">
        <v>320</v>
      </c>
      <c r="G10" s="18">
        <f t="shared" si="0"/>
        <v>400</v>
      </c>
      <c r="H10" s="8" t="s">
        <v>52</v>
      </c>
      <c r="I10" s="33" t="s">
        <v>195</v>
      </c>
      <c r="J10" s="8" t="s">
        <v>64</v>
      </c>
      <c r="K10" s="8" t="s">
        <v>65</v>
      </c>
      <c r="L10" s="8" t="s">
        <v>66</v>
      </c>
      <c r="M10" s="9" t="s">
        <v>190</v>
      </c>
      <c r="N10" s="9">
        <v>0</v>
      </c>
      <c r="O10" s="20">
        <f t="shared" si="3"/>
        <v>0</v>
      </c>
      <c r="P10" s="25" t="s">
        <v>191</v>
      </c>
      <c r="Q10" s="24">
        <v>4</v>
      </c>
      <c r="R10" s="24">
        <f t="shared" si="4"/>
        <v>576</v>
      </c>
      <c r="S10" s="20">
        <f t="shared" si="5"/>
        <v>576</v>
      </c>
      <c r="T10" s="27">
        <v>753</v>
      </c>
      <c r="U10" s="27"/>
      <c r="V10" s="27"/>
      <c r="W10" s="9" t="s">
        <v>56</v>
      </c>
      <c r="X10" s="9"/>
      <c r="Y10" s="20"/>
      <c r="Z10" s="20" t="str">
        <f t="shared" si="1"/>
        <v/>
      </c>
      <c r="AA10" s="20" t="str">
        <f t="shared" si="2"/>
        <v/>
      </c>
      <c r="AB10" s="10" t="s">
        <v>31</v>
      </c>
    </row>
    <row r="11" spans="1:28" ht="26.4">
      <c r="A11" s="6" t="s">
        <v>22</v>
      </c>
      <c r="B11" s="7" t="s">
        <v>61</v>
      </c>
      <c r="C11" s="7" t="s">
        <v>68</v>
      </c>
      <c r="D11" s="7" t="s">
        <v>69</v>
      </c>
      <c r="E11" s="16">
        <v>0.7</v>
      </c>
      <c r="F11" s="18">
        <v>320</v>
      </c>
      <c r="G11" s="18">
        <f t="shared" ref="G11" si="6">ROUND(F11/0.8,0)</f>
        <v>400</v>
      </c>
      <c r="H11" s="8" t="s">
        <v>52</v>
      </c>
      <c r="I11" s="33" t="s">
        <v>195</v>
      </c>
      <c r="J11" s="8" t="s">
        <v>64</v>
      </c>
      <c r="K11" s="8" t="s">
        <v>65</v>
      </c>
      <c r="L11" s="8" t="s">
        <v>66</v>
      </c>
      <c r="M11" s="9" t="s">
        <v>190</v>
      </c>
      <c r="N11" s="9">
        <v>0</v>
      </c>
      <c r="O11" s="20">
        <f t="shared" si="3"/>
        <v>0</v>
      </c>
      <c r="P11" s="25" t="s">
        <v>191</v>
      </c>
      <c r="Q11" s="24">
        <v>2</v>
      </c>
      <c r="R11" s="24">
        <f t="shared" si="4"/>
        <v>288</v>
      </c>
      <c r="S11" s="20">
        <f>O11+R11</f>
        <v>288</v>
      </c>
      <c r="T11" s="27">
        <v>801</v>
      </c>
      <c r="U11" s="27"/>
      <c r="V11" s="27"/>
      <c r="W11" s="9" t="s">
        <v>56</v>
      </c>
      <c r="X11" s="9"/>
      <c r="Y11" s="20"/>
      <c r="Z11" s="20" t="str">
        <f t="shared" ref="Z11" si="7">IF(OR(X11="",Y11=""),"",X11*Y11)</f>
        <v/>
      </c>
      <c r="AA11" s="20" t="str">
        <f t="shared" si="2"/>
        <v/>
      </c>
      <c r="AB11" s="10" t="s">
        <v>31</v>
      </c>
    </row>
    <row r="12" spans="1:28" ht="26.4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3" t="s">
        <v>195</v>
      </c>
      <c r="J12" s="8" t="s">
        <v>64</v>
      </c>
      <c r="K12" s="8" t="s">
        <v>65</v>
      </c>
      <c r="L12" s="8" t="s">
        <v>66</v>
      </c>
      <c r="M12" s="9" t="s">
        <v>190</v>
      </c>
      <c r="N12" s="9">
        <v>0</v>
      </c>
      <c r="O12" s="20">
        <f t="shared" si="3"/>
        <v>0</v>
      </c>
      <c r="P12" s="25" t="s">
        <v>191</v>
      </c>
      <c r="Q12" s="24">
        <v>6</v>
      </c>
      <c r="R12" s="24">
        <f t="shared" si="4"/>
        <v>864</v>
      </c>
      <c r="S12" s="20">
        <f t="shared" si="5"/>
        <v>864</v>
      </c>
      <c r="T12" s="27">
        <v>1107</v>
      </c>
      <c r="U12" s="27"/>
      <c r="V12" s="27"/>
      <c r="W12" s="9" t="s">
        <v>56</v>
      </c>
      <c r="X12" s="9"/>
      <c r="Y12" s="20"/>
      <c r="Z12" s="20" t="str">
        <f t="shared" si="1"/>
        <v/>
      </c>
      <c r="AA12" s="20" t="str">
        <f t="shared" si="2"/>
        <v/>
      </c>
      <c r="AB12" s="10" t="s">
        <v>31</v>
      </c>
    </row>
    <row r="13" spans="1:28" ht="26.4">
      <c r="A13" s="6" t="s">
        <v>22</v>
      </c>
      <c r="B13" s="7" t="s">
        <v>70</v>
      </c>
      <c r="C13" s="7" t="s">
        <v>83</v>
      </c>
      <c r="D13" s="7" t="s">
        <v>84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3" t="s">
        <v>195</v>
      </c>
      <c r="J13" s="8" t="s">
        <v>64</v>
      </c>
      <c r="K13" s="8" t="s">
        <v>65</v>
      </c>
      <c r="L13" s="8" t="s">
        <v>66</v>
      </c>
      <c r="M13" s="9" t="s">
        <v>190</v>
      </c>
      <c r="N13" s="9">
        <v>0</v>
      </c>
      <c r="O13" s="20">
        <f t="shared" si="3"/>
        <v>0</v>
      </c>
      <c r="P13" s="25" t="s">
        <v>191</v>
      </c>
      <c r="Q13" s="24">
        <v>2</v>
      </c>
      <c r="R13" s="24">
        <f t="shared" si="4"/>
        <v>288</v>
      </c>
      <c r="S13" s="20">
        <f t="shared" si="5"/>
        <v>288</v>
      </c>
      <c r="T13" s="27">
        <v>740</v>
      </c>
      <c r="U13" s="27"/>
      <c r="V13" s="27"/>
      <c r="W13" s="9" t="s">
        <v>56</v>
      </c>
      <c r="X13" s="9"/>
      <c r="Y13" s="20"/>
      <c r="Z13" s="20" t="str">
        <f t="shared" si="1"/>
        <v/>
      </c>
      <c r="AA13" s="20" t="str">
        <f t="shared" si="2"/>
        <v/>
      </c>
      <c r="AB13" s="10" t="s">
        <v>31</v>
      </c>
    </row>
    <row r="14" spans="1:28" ht="26.4">
      <c r="A14" s="6" t="s">
        <v>22</v>
      </c>
      <c r="B14" s="7" t="s">
        <v>73</v>
      </c>
      <c r="C14" s="7" t="s">
        <v>50</v>
      </c>
      <c r="D14" s="7" t="s">
        <v>51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3" t="s">
        <v>195</v>
      </c>
      <c r="J14" s="8" t="s">
        <v>53</v>
      </c>
      <c r="K14" s="8" t="s">
        <v>54</v>
      </c>
      <c r="L14" s="8" t="s">
        <v>55</v>
      </c>
      <c r="M14" s="9" t="s">
        <v>190</v>
      </c>
      <c r="N14" s="9">
        <v>0</v>
      </c>
      <c r="O14" s="20">
        <f t="shared" si="3"/>
        <v>0</v>
      </c>
      <c r="P14" s="25" t="s">
        <v>191</v>
      </c>
      <c r="Q14" s="24">
        <v>3</v>
      </c>
      <c r="R14" s="24">
        <f t="shared" si="4"/>
        <v>432</v>
      </c>
      <c r="S14" s="20">
        <f t="shared" si="5"/>
        <v>432</v>
      </c>
      <c r="T14" s="27">
        <v>865</v>
      </c>
      <c r="U14" s="27"/>
      <c r="V14" s="27"/>
      <c r="W14" s="9" t="s">
        <v>56</v>
      </c>
      <c r="X14" s="9"/>
      <c r="Y14" s="20"/>
      <c r="Z14" s="20" t="str">
        <f t="shared" si="1"/>
        <v/>
      </c>
      <c r="AA14" s="20" t="str">
        <f t="shared" si="2"/>
        <v/>
      </c>
      <c r="AB14" s="10" t="s">
        <v>31</v>
      </c>
    </row>
    <row r="15" spans="1:28" ht="26.4">
      <c r="A15" s="6" t="s">
        <v>22</v>
      </c>
      <c r="B15" s="7" t="s">
        <v>74</v>
      </c>
      <c r="C15" s="7" t="s">
        <v>118</v>
      </c>
      <c r="D15" s="7" t="s">
        <v>119</v>
      </c>
      <c r="E15" s="16">
        <v>0</v>
      </c>
      <c r="F15" s="18">
        <v>40</v>
      </c>
      <c r="G15" s="18">
        <f t="shared" si="0"/>
        <v>50</v>
      </c>
      <c r="H15" s="8" t="s">
        <v>26</v>
      </c>
      <c r="I15" s="33" t="s">
        <v>193</v>
      </c>
      <c r="J15" s="8" t="s">
        <v>35</v>
      </c>
      <c r="K15" s="8" t="s">
        <v>36</v>
      </c>
      <c r="L15" s="8" t="s">
        <v>37</v>
      </c>
      <c r="M15" s="9" t="s">
        <v>190</v>
      </c>
      <c r="N15" s="9">
        <v>0</v>
      </c>
      <c r="O15" s="20">
        <f t="shared" si="3"/>
        <v>0</v>
      </c>
      <c r="P15" s="25" t="s">
        <v>191</v>
      </c>
      <c r="Q15" s="24">
        <v>2</v>
      </c>
      <c r="R15" s="24">
        <f t="shared" si="4"/>
        <v>288</v>
      </c>
      <c r="S15" s="20">
        <f t="shared" si="5"/>
        <v>288</v>
      </c>
      <c r="T15" s="27">
        <v>403</v>
      </c>
      <c r="U15" s="27"/>
      <c r="V15" s="27"/>
      <c r="W15" s="9" t="s">
        <v>30</v>
      </c>
      <c r="X15" s="9"/>
      <c r="Y15" s="20"/>
      <c r="Z15" s="20" t="str">
        <f t="shared" si="1"/>
        <v/>
      </c>
      <c r="AA15" s="20" t="str">
        <f t="shared" si="2"/>
        <v/>
      </c>
      <c r="AB15" s="10" t="s">
        <v>31</v>
      </c>
    </row>
    <row r="16" spans="1:28" ht="26.4">
      <c r="A16" s="6" t="s">
        <v>22</v>
      </c>
      <c r="B16" s="7" t="s">
        <v>75</v>
      </c>
      <c r="C16" s="7" t="s">
        <v>106</v>
      </c>
      <c r="D16" s="7" t="s">
        <v>107</v>
      </c>
      <c r="E16" s="16">
        <v>0</v>
      </c>
      <c r="F16" s="18">
        <v>40</v>
      </c>
      <c r="G16" s="18">
        <f t="shared" si="0"/>
        <v>50</v>
      </c>
      <c r="H16" s="8" t="s">
        <v>41</v>
      </c>
      <c r="I16" s="33" t="s">
        <v>196</v>
      </c>
      <c r="J16" s="8" t="s">
        <v>108</v>
      </c>
      <c r="K16" s="8" t="s">
        <v>109</v>
      </c>
      <c r="L16" s="8" t="s">
        <v>110</v>
      </c>
      <c r="M16" s="9" t="s">
        <v>190</v>
      </c>
      <c r="N16" s="9">
        <v>0</v>
      </c>
      <c r="O16" s="20">
        <f t="shared" si="3"/>
        <v>0</v>
      </c>
      <c r="P16" s="25" t="s">
        <v>191</v>
      </c>
      <c r="Q16" s="24">
        <v>1</v>
      </c>
      <c r="R16" s="24">
        <f t="shared" si="4"/>
        <v>144</v>
      </c>
      <c r="S16" s="20">
        <f t="shared" si="5"/>
        <v>144</v>
      </c>
      <c r="T16" s="27">
        <v>403</v>
      </c>
      <c r="U16" s="27"/>
      <c r="V16" s="27"/>
      <c r="W16" s="9" t="s">
        <v>30</v>
      </c>
      <c r="X16" s="9"/>
      <c r="Y16" s="20"/>
      <c r="Z16" s="20" t="str">
        <f t="shared" si="1"/>
        <v/>
      </c>
      <c r="AA16" s="20" t="str">
        <f t="shared" si="2"/>
        <v/>
      </c>
      <c r="AB16" s="10" t="s">
        <v>31</v>
      </c>
    </row>
    <row r="17" spans="1:28" ht="26.4">
      <c r="A17" s="6" t="s">
        <v>22</v>
      </c>
      <c r="B17" s="7" t="s">
        <v>120</v>
      </c>
      <c r="C17" s="7" t="s">
        <v>121</v>
      </c>
      <c r="D17" s="7" t="s">
        <v>122</v>
      </c>
      <c r="E17" s="16">
        <v>0.7</v>
      </c>
      <c r="F17" s="18">
        <v>320</v>
      </c>
      <c r="G17" s="18">
        <f t="shared" si="0"/>
        <v>400</v>
      </c>
      <c r="H17" s="8" t="s">
        <v>52</v>
      </c>
      <c r="I17" s="33" t="s">
        <v>195</v>
      </c>
      <c r="J17" s="8" t="s">
        <v>123</v>
      </c>
      <c r="K17" s="8" t="s">
        <v>124</v>
      </c>
      <c r="L17" s="8" t="s">
        <v>125</v>
      </c>
      <c r="M17" s="9" t="s">
        <v>190</v>
      </c>
      <c r="N17" s="9">
        <v>0</v>
      </c>
      <c r="O17" s="20">
        <f t="shared" si="3"/>
        <v>0</v>
      </c>
      <c r="P17" s="25" t="s">
        <v>191</v>
      </c>
      <c r="Q17" s="24">
        <v>4</v>
      </c>
      <c r="R17" s="24">
        <f t="shared" si="4"/>
        <v>576</v>
      </c>
      <c r="S17" s="20">
        <f t="shared" si="5"/>
        <v>576</v>
      </c>
      <c r="T17" s="27">
        <v>1069</v>
      </c>
      <c r="U17" s="27"/>
      <c r="V17" s="27"/>
      <c r="W17" s="9" t="s">
        <v>56</v>
      </c>
      <c r="X17" s="9"/>
      <c r="Y17" s="20"/>
      <c r="Z17" s="20" t="str">
        <f t="shared" si="1"/>
        <v/>
      </c>
      <c r="AA17" s="20" t="str">
        <f t="shared" si="2"/>
        <v/>
      </c>
      <c r="AB17" s="10" t="s">
        <v>31</v>
      </c>
    </row>
    <row r="18" spans="1:28" ht="26.4">
      <c r="A18" s="6" t="s">
        <v>22</v>
      </c>
      <c r="B18" s="7" t="s">
        <v>126</v>
      </c>
      <c r="C18" s="7" t="s">
        <v>50</v>
      </c>
      <c r="D18" s="7" t="s">
        <v>51</v>
      </c>
      <c r="E18" s="16">
        <v>0.7</v>
      </c>
      <c r="F18" s="18">
        <v>320</v>
      </c>
      <c r="G18" s="18">
        <f t="shared" si="0"/>
        <v>400</v>
      </c>
      <c r="H18" s="8" t="s">
        <v>52</v>
      </c>
      <c r="I18" s="33" t="s">
        <v>195</v>
      </c>
      <c r="J18" s="8" t="s">
        <v>53</v>
      </c>
      <c r="K18" s="8" t="s">
        <v>54</v>
      </c>
      <c r="L18" s="8" t="s">
        <v>55</v>
      </c>
      <c r="M18" s="9" t="s">
        <v>190</v>
      </c>
      <c r="N18" s="9">
        <v>0</v>
      </c>
      <c r="O18" s="20">
        <f t="shared" si="3"/>
        <v>0</v>
      </c>
      <c r="P18" s="25" t="s">
        <v>191</v>
      </c>
      <c r="Q18" s="24">
        <v>2</v>
      </c>
      <c r="R18" s="24">
        <f t="shared" si="4"/>
        <v>288</v>
      </c>
      <c r="S18" s="20">
        <f t="shared" si="5"/>
        <v>288</v>
      </c>
      <c r="T18" s="27">
        <v>854</v>
      </c>
      <c r="U18" s="27"/>
      <c r="V18" s="27"/>
      <c r="W18" s="9" t="s">
        <v>56</v>
      </c>
      <c r="X18" s="9"/>
      <c r="Y18" s="20"/>
      <c r="Z18" s="20" t="str">
        <f t="shared" si="1"/>
        <v/>
      </c>
      <c r="AA18" s="20" t="str">
        <f t="shared" si="2"/>
        <v/>
      </c>
      <c r="AB18" s="10" t="s">
        <v>31</v>
      </c>
    </row>
    <row r="19" spans="1:28" ht="26.4">
      <c r="A19" s="6" t="s">
        <v>22</v>
      </c>
      <c r="B19" s="7" t="s">
        <v>127</v>
      </c>
      <c r="C19" s="7" t="s">
        <v>59</v>
      </c>
      <c r="D19" s="7" t="s">
        <v>60</v>
      </c>
      <c r="E19" s="16">
        <v>0</v>
      </c>
      <c r="F19" s="18">
        <v>40</v>
      </c>
      <c r="G19" s="18">
        <f t="shared" si="0"/>
        <v>50</v>
      </c>
      <c r="H19" s="8" t="s">
        <v>26</v>
      </c>
      <c r="I19" s="33" t="s">
        <v>193</v>
      </c>
      <c r="J19" s="8" t="s">
        <v>35</v>
      </c>
      <c r="K19" s="8" t="s">
        <v>36</v>
      </c>
      <c r="L19" s="8" t="s">
        <v>37</v>
      </c>
      <c r="M19" s="9" t="s">
        <v>190</v>
      </c>
      <c r="N19" s="9">
        <v>0</v>
      </c>
      <c r="O19" s="20">
        <f t="shared" si="3"/>
        <v>0</v>
      </c>
      <c r="P19" s="25" t="s">
        <v>191</v>
      </c>
      <c r="Q19" s="24">
        <v>6</v>
      </c>
      <c r="R19" s="24">
        <f t="shared" si="4"/>
        <v>864</v>
      </c>
      <c r="S19" s="20">
        <f t="shared" si="5"/>
        <v>864</v>
      </c>
      <c r="T19" s="27">
        <v>538</v>
      </c>
      <c r="U19" s="27"/>
      <c r="V19" s="27"/>
      <c r="W19" s="9" t="s">
        <v>30</v>
      </c>
      <c r="X19" s="9"/>
      <c r="Y19" s="20"/>
      <c r="Z19" s="20" t="str">
        <f t="shared" si="1"/>
        <v/>
      </c>
      <c r="AA19" s="20" t="str">
        <f t="shared" si="2"/>
        <v/>
      </c>
      <c r="AB19" s="10" t="s">
        <v>31</v>
      </c>
    </row>
    <row r="20" spans="1:28" ht="26.4">
      <c r="A20" s="6" t="s">
        <v>22</v>
      </c>
      <c r="B20" s="7" t="s">
        <v>128</v>
      </c>
      <c r="C20" s="7" t="s">
        <v>68</v>
      </c>
      <c r="D20" s="7" t="s">
        <v>69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3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0</v>
      </c>
      <c r="O20" s="20">
        <f t="shared" si="3"/>
        <v>0</v>
      </c>
      <c r="P20" s="25" t="s">
        <v>191</v>
      </c>
      <c r="Q20" s="24">
        <v>4</v>
      </c>
      <c r="R20" s="24">
        <f t="shared" si="4"/>
        <v>576</v>
      </c>
      <c r="S20" s="20">
        <f t="shared" si="5"/>
        <v>576</v>
      </c>
      <c r="T20" s="27">
        <v>1064</v>
      </c>
      <c r="U20" s="27"/>
      <c r="V20" s="27"/>
      <c r="W20" s="9" t="s">
        <v>56</v>
      </c>
      <c r="X20" s="9"/>
      <c r="Y20" s="20"/>
      <c r="Z20" s="20" t="str">
        <f t="shared" si="1"/>
        <v/>
      </c>
      <c r="AA20" s="20" t="str">
        <f t="shared" si="2"/>
        <v/>
      </c>
      <c r="AB20" s="10" t="s">
        <v>31</v>
      </c>
    </row>
    <row r="21" spans="1:28" ht="26.4">
      <c r="A21" s="6" t="s">
        <v>22</v>
      </c>
      <c r="B21" s="7" t="s">
        <v>129</v>
      </c>
      <c r="C21" s="7" t="s">
        <v>50</v>
      </c>
      <c r="D21" s="7" t="s">
        <v>51</v>
      </c>
      <c r="E21" s="16">
        <v>0.7</v>
      </c>
      <c r="F21" s="18">
        <v>320</v>
      </c>
      <c r="G21" s="18">
        <f t="shared" si="0"/>
        <v>400</v>
      </c>
      <c r="H21" s="8" t="s">
        <v>52</v>
      </c>
      <c r="I21" s="33" t="s">
        <v>195</v>
      </c>
      <c r="J21" s="8" t="s">
        <v>53</v>
      </c>
      <c r="K21" s="8" t="s">
        <v>54</v>
      </c>
      <c r="L21" s="8" t="s">
        <v>55</v>
      </c>
      <c r="M21" s="9" t="s">
        <v>190</v>
      </c>
      <c r="N21" s="9">
        <v>0</v>
      </c>
      <c r="O21" s="20">
        <f t="shared" si="3"/>
        <v>0</v>
      </c>
      <c r="P21" s="25" t="s">
        <v>191</v>
      </c>
      <c r="Q21" s="24">
        <v>1</v>
      </c>
      <c r="R21" s="24">
        <f t="shared" si="4"/>
        <v>144</v>
      </c>
      <c r="S21" s="20">
        <f t="shared" si="5"/>
        <v>144</v>
      </c>
      <c r="T21" s="27">
        <v>538</v>
      </c>
      <c r="U21" s="27"/>
      <c r="V21" s="27"/>
      <c r="W21" s="9" t="s">
        <v>56</v>
      </c>
      <c r="X21" s="9"/>
      <c r="Y21" s="20"/>
      <c r="Z21" s="20" t="str">
        <f t="shared" si="1"/>
        <v/>
      </c>
      <c r="AA21" s="20" t="str">
        <f t="shared" si="2"/>
        <v/>
      </c>
      <c r="AB21" s="10" t="s">
        <v>31</v>
      </c>
    </row>
    <row r="22" spans="1:28" ht="26.4">
      <c r="A22" s="6" t="s">
        <v>22</v>
      </c>
      <c r="B22" s="7" t="s">
        <v>130</v>
      </c>
      <c r="C22" s="7" t="s">
        <v>68</v>
      </c>
      <c r="D22" s="7" t="s">
        <v>69</v>
      </c>
      <c r="E22" s="16">
        <v>0.7</v>
      </c>
      <c r="F22" s="18">
        <v>320</v>
      </c>
      <c r="G22" s="18">
        <f t="shared" si="0"/>
        <v>400</v>
      </c>
      <c r="H22" s="8" t="s">
        <v>52</v>
      </c>
      <c r="I22" s="33" t="s">
        <v>195</v>
      </c>
      <c r="J22" s="8" t="s">
        <v>64</v>
      </c>
      <c r="K22" s="8" t="s">
        <v>65</v>
      </c>
      <c r="L22" s="8" t="s">
        <v>66</v>
      </c>
      <c r="M22" s="9" t="s">
        <v>190</v>
      </c>
      <c r="N22" s="9">
        <v>0</v>
      </c>
      <c r="O22" s="20">
        <f t="shared" si="3"/>
        <v>0</v>
      </c>
      <c r="P22" s="25" t="s">
        <v>191</v>
      </c>
      <c r="Q22" s="24">
        <v>4</v>
      </c>
      <c r="R22" s="24">
        <f t="shared" si="4"/>
        <v>576</v>
      </c>
      <c r="S22" s="20">
        <f t="shared" si="5"/>
        <v>576</v>
      </c>
      <c r="T22" s="27">
        <v>1133</v>
      </c>
      <c r="U22" s="27"/>
      <c r="V22" s="27"/>
      <c r="W22" s="9" t="s">
        <v>56</v>
      </c>
      <c r="X22" s="9"/>
      <c r="Y22" s="20"/>
      <c r="Z22" s="20" t="str">
        <f t="shared" si="1"/>
        <v/>
      </c>
      <c r="AA22" s="20" t="str">
        <f t="shared" si="2"/>
        <v/>
      </c>
      <c r="AB22" s="10" t="s">
        <v>31</v>
      </c>
    </row>
    <row r="23" spans="1:28" ht="26.4">
      <c r="A23" s="6" t="s">
        <v>22</v>
      </c>
      <c r="B23" s="7" t="s">
        <v>131</v>
      </c>
      <c r="C23" s="7" t="s">
        <v>50</v>
      </c>
      <c r="D23" s="7" t="s">
        <v>51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3" t="s">
        <v>195</v>
      </c>
      <c r="J23" s="8" t="s">
        <v>53</v>
      </c>
      <c r="K23" s="8" t="s">
        <v>54</v>
      </c>
      <c r="L23" s="8" t="s">
        <v>55</v>
      </c>
      <c r="M23" s="9" t="s">
        <v>190</v>
      </c>
      <c r="N23" s="9">
        <v>0</v>
      </c>
      <c r="O23" s="20">
        <f t="shared" si="3"/>
        <v>0</v>
      </c>
      <c r="P23" s="25" t="s">
        <v>191</v>
      </c>
      <c r="Q23" s="24">
        <v>2</v>
      </c>
      <c r="R23" s="24">
        <f t="shared" si="4"/>
        <v>288</v>
      </c>
      <c r="S23" s="20">
        <f t="shared" si="5"/>
        <v>288</v>
      </c>
      <c r="T23" s="27">
        <v>900</v>
      </c>
      <c r="U23" s="27"/>
      <c r="V23" s="27"/>
      <c r="W23" s="9" t="s">
        <v>56</v>
      </c>
      <c r="X23" s="9"/>
      <c r="Y23" s="20"/>
      <c r="Z23" s="20" t="str">
        <f t="shared" si="1"/>
        <v/>
      </c>
      <c r="AA23" s="20" t="str">
        <f t="shared" si="2"/>
        <v/>
      </c>
      <c r="AB23" s="10" t="s">
        <v>31</v>
      </c>
    </row>
    <row r="24" spans="1:28" ht="26.4">
      <c r="A24" s="6" t="s">
        <v>78</v>
      </c>
      <c r="B24" s="7" t="s">
        <v>132</v>
      </c>
      <c r="C24" s="7" t="s">
        <v>24</v>
      </c>
      <c r="D24" s="7" t="s">
        <v>25</v>
      </c>
      <c r="E24" s="16">
        <v>0</v>
      </c>
      <c r="F24" s="18">
        <v>80</v>
      </c>
      <c r="G24" s="18">
        <f t="shared" si="0"/>
        <v>100</v>
      </c>
      <c r="H24" s="8" t="s">
        <v>26</v>
      </c>
      <c r="I24" s="33" t="s">
        <v>193</v>
      </c>
      <c r="J24" s="8" t="s">
        <v>27</v>
      </c>
      <c r="K24" s="8" t="s">
        <v>28</v>
      </c>
      <c r="L24" s="8" t="s">
        <v>29</v>
      </c>
      <c r="M24" s="9" t="s">
        <v>190</v>
      </c>
      <c r="N24" s="9">
        <v>1</v>
      </c>
      <c r="O24" s="20">
        <f>72*N24</f>
        <v>72</v>
      </c>
      <c r="P24" s="25" t="s">
        <v>191</v>
      </c>
      <c r="Q24" s="24">
        <v>0</v>
      </c>
      <c r="R24" s="24">
        <f t="shared" si="4"/>
        <v>0</v>
      </c>
      <c r="S24" s="20">
        <f>O24</f>
        <v>72</v>
      </c>
      <c r="T24" s="29">
        <v>229</v>
      </c>
      <c r="U24" s="36">
        <v>0.93</v>
      </c>
      <c r="V24" s="39"/>
      <c r="W24" s="9" t="s">
        <v>30</v>
      </c>
      <c r="X24" s="9"/>
      <c r="Y24" s="20"/>
      <c r="Z24" s="20" t="str">
        <f t="shared" si="1"/>
        <v/>
      </c>
      <c r="AA24" s="20" t="str">
        <f t="shared" si="2"/>
        <v/>
      </c>
      <c r="AB24" s="10" t="s">
        <v>31</v>
      </c>
    </row>
    <row r="25" spans="1:28" ht="26.4">
      <c r="A25" s="6" t="s">
        <v>78</v>
      </c>
      <c r="B25" s="28">
        <v>202</v>
      </c>
      <c r="C25" s="7" t="s">
        <v>59</v>
      </c>
      <c r="D25" s="7" t="s">
        <v>60</v>
      </c>
      <c r="E25" s="16">
        <v>0</v>
      </c>
      <c r="F25" s="18">
        <v>40</v>
      </c>
      <c r="G25" s="18">
        <f t="shared" ref="G25" si="8">ROUND(F25/0.8,0)</f>
        <v>50</v>
      </c>
      <c r="H25" s="8" t="s">
        <v>26</v>
      </c>
      <c r="I25" s="33" t="s">
        <v>193</v>
      </c>
      <c r="J25" s="8" t="s">
        <v>35</v>
      </c>
      <c r="K25" s="8" t="s">
        <v>36</v>
      </c>
      <c r="L25" s="8" t="s">
        <v>37</v>
      </c>
      <c r="M25" s="9" t="s">
        <v>190</v>
      </c>
      <c r="N25" s="9">
        <v>2</v>
      </c>
      <c r="O25" s="20">
        <f t="shared" ref="O25:O38" si="9">72*N25</f>
        <v>144</v>
      </c>
      <c r="P25" s="25" t="s">
        <v>191</v>
      </c>
      <c r="Q25" s="24">
        <v>0</v>
      </c>
      <c r="R25" s="24">
        <f t="shared" ref="R25:R33" si="10">4*36*Q25</f>
        <v>0</v>
      </c>
      <c r="S25" s="20">
        <f t="shared" ref="S25:S38" si="11">O25</f>
        <v>144</v>
      </c>
      <c r="T25" s="29">
        <v>168</v>
      </c>
      <c r="U25" s="40">
        <v>7.0000000000000007E-2</v>
      </c>
      <c r="V25" s="39"/>
      <c r="W25" s="9" t="s">
        <v>30</v>
      </c>
      <c r="X25" s="9"/>
      <c r="Y25" s="20"/>
      <c r="Z25" s="20" t="str">
        <f t="shared" ref="Z25" si="12">IF(OR(X25="",Y25=""),"",X25*Y25)</f>
        <v/>
      </c>
      <c r="AA25" s="20" t="str">
        <f t="shared" si="2"/>
        <v/>
      </c>
      <c r="AB25" s="10" t="s">
        <v>31</v>
      </c>
    </row>
    <row r="26" spans="1:28" ht="26.4">
      <c r="A26" s="6" t="s">
        <v>78</v>
      </c>
      <c r="B26" s="7" t="s">
        <v>133</v>
      </c>
      <c r="C26" s="7" t="s">
        <v>134</v>
      </c>
      <c r="D26" s="7" t="s">
        <v>135</v>
      </c>
      <c r="E26" s="16">
        <v>0</v>
      </c>
      <c r="F26" s="18">
        <v>80</v>
      </c>
      <c r="G26" s="18">
        <f t="shared" ref="G26:G38" si="13">ROUND(F26/0.8,0)</f>
        <v>100</v>
      </c>
      <c r="H26" s="8" t="s">
        <v>41</v>
      </c>
      <c r="I26" s="33" t="s">
        <v>196</v>
      </c>
      <c r="J26" s="8" t="s">
        <v>113</v>
      </c>
      <c r="K26" s="8" t="s">
        <v>114</v>
      </c>
      <c r="L26" s="8" t="s">
        <v>115</v>
      </c>
      <c r="M26" s="9" t="s">
        <v>190</v>
      </c>
      <c r="N26" s="9">
        <v>0</v>
      </c>
      <c r="O26" s="20">
        <f t="shared" si="9"/>
        <v>0</v>
      </c>
      <c r="P26" s="25" t="s">
        <v>191</v>
      </c>
      <c r="Q26" s="24">
        <v>0</v>
      </c>
      <c r="R26" s="24">
        <f t="shared" si="10"/>
        <v>0</v>
      </c>
      <c r="S26" s="20">
        <f t="shared" si="11"/>
        <v>0</v>
      </c>
      <c r="T26" s="29">
        <v>0</v>
      </c>
      <c r="U26" s="38">
        <v>0</v>
      </c>
      <c r="V26" s="37"/>
      <c r="W26" s="9" t="s">
        <v>30</v>
      </c>
      <c r="X26" s="9"/>
      <c r="Y26" s="20"/>
      <c r="Z26" s="20" t="str">
        <f t="shared" ref="Z26:Z38" si="14">IF(OR(X26="",Y26=""),"",X26*Y26)</f>
        <v/>
      </c>
      <c r="AA26" s="20" t="str">
        <f t="shared" si="2"/>
        <v/>
      </c>
      <c r="AB26" s="10" t="s">
        <v>31</v>
      </c>
    </row>
    <row r="27" spans="1:28" ht="26.4">
      <c r="A27" s="6" t="s">
        <v>78</v>
      </c>
      <c r="B27" s="7" t="s">
        <v>81</v>
      </c>
      <c r="C27" s="7" t="s">
        <v>136</v>
      </c>
      <c r="D27" s="7" t="s">
        <v>137</v>
      </c>
      <c r="E27" s="16">
        <v>0.7</v>
      </c>
      <c r="F27" s="18">
        <v>320</v>
      </c>
      <c r="G27" s="18">
        <f t="shared" si="13"/>
        <v>400</v>
      </c>
      <c r="H27" s="8" t="s">
        <v>52</v>
      </c>
      <c r="I27" s="33" t="s">
        <v>195</v>
      </c>
      <c r="J27" s="8" t="s">
        <v>64</v>
      </c>
      <c r="K27" s="8" t="s">
        <v>65</v>
      </c>
      <c r="L27" s="8" t="s">
        <v>66</v>
      </c>
      <c r="M27" s="9" t="s">
        <v>190</v>
      </c>
      <c r="N27" s="9">
        <v>4</v>
      </c>
      <c r="O27" s="20">
        <f>72*N27</f>
        <v>288</v>
      </c>
      <c r="P27" s="25" t="s">
        <v>191</v>
      </c>
      <c r="Q27" s="24">
        <v>0</v>
      </c>
      <c r="R27" s="24">
        <f t="shared" si="10"/>
        <v>0</v>
      </c>
      <c r="S27" s="20">
        <f t="shared" si="11"/>
        <v>288</v>
      </c>
      <c r="T27" s="29">
        <v>291</v>
      </c>
      <c r="U27" s="40">
        <v>0.67</v>
      </c>
      <c r="V27" s="41">
        <v>22</v>
      </c>
      <c r="W27" s="9" t="s">
        <v>56</v>
      </c>
      <c r="X27" s="9"/>
      <c r="Y27" s="20"/>
      <c r="Z27" s="20" t="str">
        <f t="shared" si="14"/>
        <v/>
      </c>
      <c r="AA27" s="20" t="str">
        <f t="shared" si="2"/>
        <v/>
      </c>
      <c r="AB27" s="10" t="s">
        <v>31</v>
      </c>
    </row>
    <row r="28" spans="1:28" ht="26.4">
      <c r="A28" s="6" t="s">
        <v>78</v>
      </c>
      <c r="B28" s="7" t="s">
        <v>82</v>
      </c>
      <c r="C28" s="7" t="s">
        <v>50</v>
      </c>
      <c r="D28" s="7" t="s">
        <v>51</v>
      </c>
      <c r="E28" s="16">
        <v>0.7</v>
      </c>
      <c r="F28" s="18">
        <v>320</v>
      </c>
      <c r="G28" s="18">
        <f t="shared" si="13"/>
        <v>400</v>
      </c>
      <c r="H28" s="8" t="s">
        <v>52</v>
      </c>
      <c r="I28" s="33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4</v>
      </c>
      <c r="O28" s="20">
        <f t="shared" si="9"/>
        <v>288</v>
      </c>
      <c r="P28" s="25" t="s">
        <v>191</v>
      </c>
      <c r="Q28" s="24">
        <v>0</v>
      </c>
      <c r="R28" s="24">
        <f t="shared" si="10"/>
        <v>0</v>
      </c>
      <c r="S28" s="20">
        <f t="shared" si="11"/>
        <v>288</v>
      </c>
      <c r="T28" s="29">
        <v>384</v>
      </c>
      <c r="U28" s="36">
        <v>0.77</v>
      </c>
      <c r="V28" s="41">
        <v>20.8</v>
      </c>
      <c r="W28" s="9" t="s">
        <v>56</v>
      </c>
      <c r="X28" s="9"/>
      <c r="Y28" s="20"/>
      <c r="Z28" s="20" t="str">
        <f t="shared" si="14"/>
        <v/>
      </c>
      <c r="AA28" s="20" t="str">
        <f t="shared" si="2"/>
        <v/>
      </c>
      <c r="AB28" s="10" t="s">
        <v>31</v>
      </c>
    </row>
    <row r="29" spans="1:28" ht="26.4">
      <c r="A29" s="6" t="s">
        <v>78</v>
      </c>
      <c r="B29" s="7" t="s">
        <v>85</v>
      </c>
      <c r="C29" s="7" t="s">
        <v>68</v>
      </c>
      <c r="D29" s="7" t="s">
        <v>69</v>
      </c>
      <c r="E29" s="16">
        <v>0.7</v>
      </c>
      <c r="F29" s="18">
        <v>320</v>
      </c>
      <c r="G29" s="18">
        <f t="shared" si="13"/>
        <v>400</v>
      </c>
      <c r="H29" s="8" t="s">
        <v>52</v>
      </c>
      <c r="I29" s="33" t="s">
        <v>195</v>
      </c>
      <c r="J29" s="8" t="s">
        <v>64</v>
      </c>
      <c r="K29" s="8" t="s">
        <v>65</v>
      </c>
      <c r="L29" s="8" t="s">
        <v>66</v>
      </c>
      <c r="M29" s="9" t="s">
        <v>190</v>
      </c>
      <c r="N29" s="9">
        <v>5</v>
      </c>
      <c r="O29" s="20">
        <f t="shared" si="9"/>
        <v>360</v>
      </c>
      <c r="P29" s="25" t="s">
        <v>191</v>
      </c>
      <c r="Q29" s="24">
        <v>0</v>
      </c>
      <c r="R29" s="24">
        <f t="shared" si="10"/>
        <v>0</v>
      </c>
      <c r="S29" s="20">
        <f t="shared" si="11"/>
        <v>360</v>
      </c>
      <c r="T29" s="29">
        <v>375</v>
      </c>
      <c r="U29" s="40">
        <v>0.59</v>
      </c>
      <c r="V29" s="41">
        <v>22.6</v>
      </c>
      <c r="W29" s="9" t="s">
        <v>56</v>
      </c>
      <c r="X29" s="9"/>
      <c r="Y29" s="20"/>
      <c r="Z29" s="20" t="str">
        <f t="shared" si="14"/>
        <v/>
      </c>
      <c r="AA29" s="20" t="str">
        <f t="shared" si="2"/>
        <v/>
      </c>
      <c r="AB29" s="10" t="s">
        <v>31</v>
      </c>
    </row>
    <row r="30" spans="1:28" ht="26.4">
      <c r="A30" s="6" t="s">
        <v>78</v>
      </c>
      <c r="B30" s="7" t="s">
        <v>88</v>
      </c>
      <c r="C30" s="7" t="s">
        <v>138</v>
      </c>
      <c r="D30" s="7" t="s">
        <v>139</v>
      </c>
      <c r="E30" s="16">
        <v>0.85</v>
      </c>
      <c r="F30" s="18">
        <v>160</v>
      </c>
      <c r="G30" s="18">
        <f t="shared" si="13"/>
        <v>200</v>
      </c>
      <c r="H30" s="8" t="s">
        <v>140</v>
      </c>
      <c r="I30" s="33" t="s">
        <v>194</v>
      </c>
      <c r="J30" s="8" t="s">
        <v>141</v>
      </c>
      <c r="K30" s="8" t="s">
        <v>142</v>
      </c>
      <c r="L30" s="8" t="s">
        <v>143</v>
      </c>
      <c r="M30" s="9" t="s">
        <v>190</v>
      </c>
      <c r="N30" s="9">
        <v>7</v>
      </c>
      <c r="O30" s="20">
        <f t="shared" si="9"/>
        <v>504</v>
      </c>
      <c r="P30" s="25" t="s">
        <v>191</v>
      </c>
      <c r="Q30" s="24">
        <v>0</v>
      </c>
      <c r="R30" s="24">
        <f t="shared" si="10"/>
        <v>0</v>
      </c>
      <c r="S30" s="20">
        <f t="shared" si="11"/>
        <v>504</v>
      </c>
      <c r="T30" s="29">
        <v>316</v>
      </c>
      <c r="U30" s="36">
        <v>0.62</v>
      </c>
      <c r="V30" s="41">
        <v>25.1</v>
      </c>
      <c r="W30" s="9" t="s">
        <v>30</v>
      </c>
      <c r="X30" s="9"/>
      <c r="Y30" s="20"/>
      <c r="Z30" s="20" t="str">
        <f t="shared" si="14"/>
        <v/>
      </c>
      <c r="AA30" s="20" t="str">
        <f t="shared" si="2"/>
        <v/>
      </c>
      <c r="AB30" s="10" t="s">
        <v>31</v>
      </c>
    </row>
    <row r="31" spans="1:28" ht="26.4">
      <c r="A31" s="6" t="s">
        <v>78</v>
      </c>
      <c r="B31" s="7" t="s">
        <v>89</v>
      </c>
      <c r="C31" s="7" t="s">
        <v>200</v>
      </c>
      <c r="D31" s="7" t="s">
        <v>69</v>
      </c>
      <c r="E31" s="16">
        <v>0.7</v>
      </c>
      <c r="F31" s="18">
        <v>320</v>
      </c>
      <c r="G31" s="18">
        <f t="shared" si="13"/>
        <v>400</v>
      </c>
      <c r="H31" s="8" t="s">
        <v>52</v>
      </c>
      <c r="I31" s="33" t="s">
        <v>195</v>
      </c>
      <c r="J31" s="8" t="s">
        <v>64</v>
      </c>
      <c r="K31" s="8" t="s">
        <v>65</v>
      </c>
      <c r="L31" s="8" t="s">
        <v>66</v>
      </c>
      <c r="M31" s="9" t="s">
        <v>190</v>
      </c>
      <c r="N31" s="9">
        <v>9</v>
      </c>
      <c r="O31" s="20">
        <f t="shared" si="9"/>
        <v>648</v>
      </c>
      <c r="P31" s="25" t="s">
        <v>191</v>
      </c>
      <c r="Q31" s="24">
        <v>0</v>
      </c>
      <c r="R31" s="24">
        <f t="shared" si="10"/>
        <v>0</v>
      </c>
      <c r="S31" s="20">
        <f t="shared" si="11"/>
        <v>648</v>
      </c>
      <c r="T31" s="29">
        <v>476</v>
      </c>
      <c r="U31" s="40">
        <v>0.66</v>
      </c>
      <c r="V31" s="41">
        <v>21.4</v>
      </c>
      <c r="W31" s="9" t="s">
        <v>56</v>
      </c>
      <c r="X31" s="9"/>
      <c r="Y31" s="20"/>
      <c r="Z31" s="20" t="str">
        <f t="shared" si="14"/>
        <v/>
      </c>
      <c r="AA31" s="20" t="str">
        <f t="shared" si="2"/>
        <v/>
      </c>
      <c r="AB31" s="10" t="s">
        <v>31</v>
      </c>
    </row>
    <row r="32" spans="1:28" ht="26.4">
      <c r="A32" s="6" t="s">
        <v>78</v>
      </c>
      <c r="B32" s="7" t="s">
        <v>90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13"/>
        <v>400</v>
      </c>
      <c r="H32" s="8" t="s">
        <v>52</v>
      </c>
      <c r="I32" s="33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6</v>
      </c>
      <c r="O32" s="20">
        <f t="shared" si="9"/>
        <v>432</v>
      </c>
      <c r="P32" s="25" t="s">
        <v>191</v>
      </c>
      <c r="Q32" s="24">
        <v>0</v>
      </c>
      <c r="R32" s="24">
        <f t="shared" si="10"/>
        <v>0</v>
      </c>
      <c r="S32" s="20">
        <f t="shared" si="11"/>
        <v>432</v>
      </c>
      <c r="T32" s="29">
        <v>552</v>
      </c>
      <c r="U32" s="36">
        <v>0.72</v>
      </c>
      <c r="V32" s="35">
        <v>18.5</v>
      </c>
      <c r="W32" s="9" t="s">
        <v>56</v>
      </c>
      <c r="X32" s="9"/>
      <c r="Y32" s="20"/>
      <c r="Z32" s="20" t="str">
        <f t="shared" si="14"/>
        <v/>
      </c>
      <c r="AA32" s="20" t="str">
        <f t="shared" si="2"/>
        <v/>
      </c>
      <c r="AB32" s="10" t="s">
        <v>31</v>
      </c>
    </row>
    <row r="33" spans="1:28" ht="26.4">
      <c r="A33" s="6" t="s">
        <v>78</v>
      </c>
      <c r="B33" s="7" t="s">
        <v>91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13"/>
        <v>100</v>
      </c>
      <c r="H33" s="8" t="s">
        <v>41</v>
      </c>
      <c r="I33" s="33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2</v>
      </c>
      <c r="O33" s="20">
        <f t="shared" si="9"/>
        <v>144</v>
      </c>
      <c r="P33" s="25" t="s">
        <v>191</v>
      </c>
      <c r="Q33" s="24">
        <v>0</v>
      </c>
      <c r="R33" s="24">
        <f t="shared" si="10"/>
        <v>0</v>
      </c>
      <c r="S33" s="20">
        <f t="shared" si="11"/>
        <v>144</v>
      </c>
      <c r="T33" s="29">
        <v>227</v>
      </c>
      <c r="U33" s="36">
        <v>0.87</v>
      </c>
      <c r="V33" s="35">
        <v>17.5</v>
      </c>
      <c r="W33" s="9" t="s">
        <v>30</v>
      </c>
      <c r="X33" s="9"/>
      <c r="Y33" s="20"/>
      <c r="Z33" s="20" t="str">
        <f t="shared" si="14"/>
        <v/>
      </c>
      <c r="AA33" s="20" t="str">
        <f t="shared" si="2"/>
        <v/>
      </c>
      <c r="AB33" s="10" t="s">
        <v>31</v>
      </c>
    </row>
    <row r="34" spans="1:28" ht="26.4">
      <c r="A34" s="6" t="s">
        <v>78</v>
      </c>
      <c r="B34" s="7" t="s">
        <v>92</v>
      </c>
      <c r="C34" s="7" t="s">
        <v>68</v>
      </c>
      <c r="D34" s="7" t="s">
        <v>69</v>
      </c>
      <c r="E34" s="16">
        <v>0.7</v>
      </c>
      <c r="F34" s="18">
        <v>320</v>
      </c>
      <c r="G34" s="18">
        <f t="shared" si="13"/>
        <v>400</v>
      </c>
      <c r="H34" s="8" t="s">
        <v>52</v>
      </c>
      <c r="I34" s="33" t="s">
        <v>195</v>
      </c>
      <c r="J34" s="8" t="s">
        <v>64</v>
      </c>
      <c r="K34" s="8" t="s">
        <v>65</v>
      </c>
      <c r="L34" s="8" t="s">
        <v>66</v>
      </c>
      <c r="M34" s="9" t="s">
        <v>190</v>
      </c>
      <c r="N34" s="9">
        <v>9</v>
      </c>
      <c r="O34" s="20">
        <f t="shared" si="9"/>
        <v>648</v>
      </c>
      <c r="P34" s="25" t="s">
        <v>191</v>
      </c>
      <c r="Q34" s="24">
        <v>0</v>
      </c>
      <c r="R34" s="24">
        <f>4*36*Q34</f>
        <v>0</v>
      </c>
      <c r="S34" s="20">
        <f t="shared" si="11"/>
        <v>648</v>
      </c>
      <c r="T34" s="29">
        <v>676</v>
      </c>
      <c r="U34" s="40">
        <v>0.68</v>
      </c>
      <c r="V34" s="41">
        <v>21.5</v>
      </c>
      <c r="W34" s="9" t="s">
        <v>56</v>
      </c>
      <c r="X34" s="9"/>
      <c r="Y34" s="20"/>
      <c r="Z34" s="20" t="str">
        <f t="shared" si="14"/>
        <v/>
      </c>
      <c r="AA34" s="20" t="str">
        <f t="shared" si="2"/>
        <v/>
      </c>
      <c r="AB34" s="10" t="s">
        <v>31</v>
      </c>
    </row>
    <row r="35" spans="1:28" ht="26.4">
      <c r="A35" s="6" t="s">
        <v>78</v>
      </c>
      <c r="B35" s="7" t="s">
        <v>93</v>
      </c>
      <c r="C35" s="7" t="s">
        <v>39</v>
      </c>
      <c r="D35" s="7" t="s">
        <v>40</v>
      </c>
      <c r="E35" s="16">
        <v>0</v>
      </c>
      <c r="F35" s="18">
        <v>80</v>
      </c>
      <c r="G35" s="18">
        <f t="shared" si="13"/>
        <v>100</v>
      </c>
      <c r="H35" s="8" t="s">
        <v>41</v>
      </c>
      <c r="I35" s="33" t="s">
        <v>194</v>
      </c>
      <c r="J35" s="8" t="s">
        <v>42</v>
      </c>
      <c r="K35" s="8" t="s">
        <v>43</v>
      </c>
      <c r="L35" s="8" t="s">
        <v>44</v>
      </c>
      <c r="M35" s="9" t="s">
        <v>190</v>
      </c>
      <c r="N35" s="9">
        <v>3</v>
      </c>
      <c r="O35" s="20">
        <f>72*N35</f>
        <v>216</v>
      </c>
      <c r="P35" s="25" t="s">
        <v>191</v>
      </c>
      <c r="Q35" s="24">
        <v>0</v>
      </c>
      <c r="R35" s="24">
        <f t="shared" ref="R35:R38" si="15">4*36*Q35</f>
        <v>0</v>
      </c>
      <c r="S35" s="20">
        <f>O35</f>
        <v>216</v>
      </c>
      <c r="T35" s="29">
        <v>273</v>
      </c>
      <c r="U35" s="36">
        <v>0.66</v>
      </c>
      <c r="V35" s="35">
        <v>21.1</v>
      </c>
      <c r="W35" s="9" t="s">
        <v>30</v>
      </c>
      <c r="X35" s="9"/>
      <c r="Y35" s="20"/>
      <c r="Z35" s="20" t="str">
        <f t="shared" si="14"/>
        <v/>
      </c>
      <c r="AA35" s="20" t="str">
        <f t="shared" si="2"/>
        <v/>
      </c>
      <c r="AB35" s="10" t="s">
        <v>31</v>
      </c>
    </row>
    <row r="36" spans="1:28" ht="26.4">
      <c r="A36" s="6" t="s">
        <v>78</v>
      </c>
      <c r="B36" s="7" t="s">
        <v>94</v>
      </c>
      <c r="C36" s="7" t="s">
        <v>68</v>
      </c>
      <c r="D36" s="7" t="s">
        <v>69</v>
      </c>
      <c r="E36" s="16">
        <v>0.7</v>
      </c>
      <c r="F36" s="18">
        <v>320</v>
      </c>
      <c r="G36" s="18">
        <f t="shared" si="13"/>
        <v>400</v>
      </c>
      <c r="H36" s="8" t="s">
        <v>52</v>
      </c>
      <c r="I36" s="33" t="s">
        <v>195</v>
      </c>
      <c r="J36" s="8" t="s">
        <v>64</v>
      </c>
      <c r="K36" s="8" t="s">
        <v>65</v>
      </c>
      <c r="L36" s="8" t="s">
        <v>66</v>
      </c>
      <c r="M36" s="9" t="s">
        <v>190</v>
      </c>
      <c r="N36" s="9">
        <v>8</v>
      </c>
      <c r="O36" s="20">
        <f t="shared" si="9"/>
        <v>576</v>
      </c>
      <c r="P36" s="25" t="s">
        <v>191</v>
      </c>
      <c r="Q36" s="24">
        <v>0</v>
      </c>
      <c r="R36" s="24">
        <f t="shared" si="15"/>
        <v>0</v>
      </c>
      <c r="S36" s="20">
        <f t="shared" si="11"/>
        <v>576</v>
      </c>
      <c r="T36" s="29">
        <v>622</v>
      </c>
      <c r="U36" s="36">
        <v>0.7</v>
      </c>
      <c r="V36" s="35">
        <v>18.7</v>
      </c>
      <c r="W36" s="9" t="s">
        <v>56</v>
      </c>
      <c r="X36" s="9"/>
      <c r="Y36" s="20"/>
      <c r="Z36" s="20" t="str">
        <f t="shared" si="14"/>
        <v/>
      </c>
      <c r="AA36" s="20" t="str">
        <f t="shared" si="2"/>
        <v/>
      </c>
      <c r="AB36" s="10" t="s">
        <v>31</v>
      </c>
    </row>
    <row r="37" spans="1:28" ht="26.4">
      <c r="A37" s="6" t="s">
        <v>78</v>
      </c>
      <c r="B37" s="7" t="s">
        <v>144</v>
      </c>
      <c r="C37" s="7" t="s">
        <v>134</v>
      </c>
      <c r="D37" s="7" t="s">
        <v>135</v>
      </c>
      <c r="E37" s="16">
        <v>0</v>
      </c>
      <c r="F37" s="18">
        <v>80</v>
      </c>
      <c r="G37" s="18">
        <f t="shared" si="13"/>
        <v>100</v>
      </c>
      <c r="H37" s="8" t="s">
        <v>41</v>
      </c>
      <c r="I37" s="34" t="s">
        <v>196</v>
      </c>
      <c r="J37" s="8" t="s">
        <v>113</v>
      </c>
      <c r="K37" s="8" t="s">
        <v>114</v>
      </c>
      <c r="L37" s="8" t="s">
        <v>115</v>
      </c>
      <c r="M37" s="9" t="s">
        <v>190</v>
      </c>
      <c r="N37" s="9">
        <v>1</v>
      </c>
      <c r="O37" s="20">
        <f t="shared" si="9"/>
        <v>72</v>
      </c>
      <c r="P37" s="25" t="s">
        <v>191</v>
      </c>
      <c r="Q37" s="24">
        <v>0</v>
      </c>
      <c r="R37" s="24">
        <f t="shared" si="15"/>
        <v>0</v>
      </c>
      <c r="S37" s="20">
        <f t="shared" si="11"/>
        <v>72</v>
      </c>
      <c r="T37" s="29">
        <v>136</v>
      </c>
      <c r="U37" s="36">
        <v>0.76</v>
      </c>
      <c r="V37" s="35">
        <v>11.9</v>
      </c>
      <c r="W37" s="9" t="s">
        <v>30</v>
      </c>
      <c r="X37" s="9"/>
      <c r="Y37" s="20"/>
      <c r="Z37" s="20" t="str">
        <f t="shared" si="14"/>
        <v/>
      </c>
      <c r="AA37" s="20" t="str">
        <f t="shared" si="2"/>
        <v/>
      </c>
      <c r="AB37" s="10" t="s">
        <v>31</v>
      </c>
    </row>
    <row r="38" spans="1:28" ht="26.4">
      <c r="A38" s="11" t="s">
        <v>78</v>
      </c>
      <c r="B38" s="12" t="s">
        <v>97</v>
      </c>
      <c r="C38" s="12" t="s">
        <v>145</v>
      </c>
      <c r="D38" s="12" t="s">
        <v>146</v>
      </c>
      <c r="E38" s="17">
        <v>0.7</v>
      </c>
      <c r="F38" s="19">
        <v>320</v>
      </c>
      <c r="G38" s="19">
        <f t="shared" si="13"/>
        <v>400</v>
      </c>
      <c r="H38" s="13" t="s">
        <v>52</v>
      </c>
      <c r="I38" s="34" t="s">
        <v>195</v>
      </c>
      <c r="J38" s="13" t="s">
        <v>53</v>
      </c>
      <c r="K38" s="13" t="s">
        <v>54</v>
      </c>
      <c r="L38" s="13" t="s">
        <v>55</v>
      </c>
      <c r="M38" s="9" t="s">
        <v>190</v>
      </c>
      <c r="N38" s="14">
        <v>8</v>
      </c>
      <c r="O38" s="20">
        <f t="shared" si="9"/>
        <v>576</v>
      </c>
      <c r="P38" s="25" t="s">
        <v>191</v>
      </c>
      <c r="Q38" s="24">
        <v>0</v>
      </c>
      <c r="R38" s="24">
        <f t="shared" si="15"/>
        <v>0</v>
      </c>
      <c r="S38" s="20">
        <f t="shared" si="11"/>
        <v>576</v>
      </c>
      <c r="T38" s="29">
        <v>458</v>
      </c>
      <c r="U38" s="40">
        <v>0.62</v>
      </c>
      <c r="V38" s="41">
        <v>20.8</v>
      </c>
      <c r="W38" s="14" t="s">
        <v>56</v>
      </c>
      <c r="X38" s="14"/>
      <c r="Y38" s="21"/>
      <c r="Z38" s="21" t="str">
        <f t="shared" si="14"/>
        <v/>
      </c>
      <c r="AA38" s="21" t="str">
        <f t="shared" si="2"/>
        <v/>
      </c>
      <c r="AB38" s="15" t="s">
        <v>31</v>
      </c>
    </row>
    <row r="39" spans="1:28">
      <c r="M39" s="7"/>
      <c r="P39" s="7"/>
    </row>
    <row r="40" spans="1:28">
      <c r="M40" s="7"/>
    </row>
    <row r="41" spans="1:28">
      <c r="M41" s="7"/>
    </row>
  </sheetData>
  <mergeCells count="1">
    <mergeCell ref="A1:Z1"/>
  </mergeCells>
  <phoneticPr fontId="4" type="noConversion"/>
  <conditionalFormatting sqref="T25">
    <cfRule type="expression" dxfId="3" priority="1">
      <formula>$T25&gt;=$F25</formula>
    </cfRule>
    <cfRule type="expression" dxfId="2" priority="2">
      <formula>$T25&lt;$F25</formula>
    </cfRule>
  </conditionalFormatting>
  <conditionalFormatting sqref="T4:V23">
    <cfRule type="expression" dxfId="1" priority="3">
      <formula>$T4&gt;=$F4</formula>
    </cfRule>
    <cfRule type="expression" dxfId="0" priority="4">
      <formula>$T4&lt;$F4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ColWidth="8.796875" defaultRowHeight="13.8"/>
  <cols>
    <col min="1" max="1" width="26" customWidth="1"/>
    <col min="2" max="3" width="16" customWidth="1"/>
    <col min="4" max="5" width="18" customWidth="1"/>
    <col min="6" max="8" width="34" customWidth="1"/>
  </cols>
  <sheetData>
    <row r="1" spans="1:8" ht="21">
      <c r="A1" s="43" t="s">
        <v>147</v>
      </c>
      <c r="B1" s="43"/>
      <c r="C1" s="43"/>
      <c r="D1" s="43"/>
      <c r="E1" s="43"/>
      <c r="F1" s="43"/>
      <c r="G1" s="43"/>
      <c r="H1" s="43"/>
    </row>
    <row r="2" spans="1:8" ht="27.6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</row>
    <row r="3" spans="1:8" ht="27.6">
      <c r="A3" s="2" t="s">
        <v>69</v>
      </c>
      <c r="B3" s="22">
        <v>0.7</v>
      </c>
      <c r="C3" s="22">
        <v>320</v>
      </c>
      <c r="D3" s="22">
        <f t="shared" ref="D3:D12" si="0">ROUND(C3/0.8,0)</f>
        <v>400</v>
      </c>
      <c r="E3" s="23" t="s">
        <v>52</v>
      </c>
      <c r="F3" s="23" t="s">
        <v>156</v>
      </c>
      <c r="G3" s="23" t="s">
        <v>65</v>
      </c>
      <c r="H3" s="23" t="s">
        <v>157</v>
      </c>
    </row>
    <row r="4" spans="1:8" ht="27.6">
      <c r="A4" s="2" t="s">
        <v>158</v>
      </c>
      <c r="B4" s="22">
        <v>0.7</v>
      </c>
      <c r="C4" s="22">
        <v>320</v>
      </c>
      <c r="D4" s="22">
        <f t="shared" si="0"/>
        <v>400</v>
      </c>
      <c r="E4" s="23" t="s">
        <v>52</v>
      </c>
      <c r="F4" s="23" t="s">
        <v>159</v>
      </c>
      <c r="G4" s="23" t="s">
        <v>160</v>
      </c>
      <c r="H4" s="23" t="s">
        <v>161</v>
      </c>
    </row>
    <row r="5" spans="1:8">
      <c r="A5" s="2" t="s">
        <v>122</v>
      </c>
      <c r="B5" s="22">
        <v>0.7</v>
      </c>
      <c r="C5" s="22">
        <v>320</v>
      </c>
      <c r="D5" s="22">
        <f t="shared" si="0"/>
        <v>400</v>
      </c>
      <c r="E5" s="23" t="s">
        <v>52</v>
      </c>
      <c r="F5" s="23" t="s">
        <v>123</v>
      </c>
      <c r="G5" s="23" t="s">
        <v>162</v>
      </c>
      <c r="H5" s="23" t="s">
        <v>163</v>
      </c>
    </row>
    <row r="6" spans="1:8">
      <c r="A6" s="2" t="s">
        <v>60</v>
      </c>
      <c r="B6" s="22">
        <v>0</v>
      </c>
      <c r="C6" s="22">
        <v>40</v>
      </c>
      <c r="D6" s="22">
        <f t="shared" si="0"/>
        <v>50</v>
      </c>
      <c r="E6" s="23" t="s">
        <v>26</v>
      </c>
      <c r="F6" s="23" t="s">
        <v>35</v>
      </c>
      <c r="G6" s="23" t="s">
        <v>164</v>
      </c>
      <c r="H6" s="23" t="s">
        <v>165</v>
      </c>
    </row>
    <row r="7" spans="1:8">
      <c r="A7" s="2" t="s">
        <v>24</v>
      </c>
      <c r="B7" s="22">
        <v>0</v>
      </c>
      <c r="C7" s="22">
        <v>80</v>
      </c>
      <c r="D7" s="22">
        <f t="shared" si="0"/>
        <v>100</v>
      </c>
      <c r="E7" s="23" t="s">
        <v>26</v>
      </c>
      <c r="F7" s="23" t="s">
        <v>166</v>
      </c>
      <c r="G7" s="23" t="s">
        <v>28</v>
      </c>
      <c r="H7" s="23" t="s">
        <v>167</v>
      </c>
    </row>
    <row r="8" spans="1:8">
      <c r="A8" s="2" t="s">
        <v>107</v>
      </c>
      <c r="B8" s="22">
        <v>0</v>
      </c>
      <c r="C8" s="22">
        <v>80</v>
      </c>
      <c r="D8" s="22">
        <f t="shared" si="0"/>
        <v>100</v>
      </c>
      <c r="E8" s="23" t="s">
        <v>41</v>
      </c>
      <c r="F8" s="23" t="s">
        <v>168</v>
      </c>
      <c r="G8" s="23" t="s">
        <v>169</v>
      </c>
      <c r="H8" s="23" t="s">
        <v>165</v>
      </c>
    </row>
    <row r="9" spans="1:8">
      <c r="A9" s="2" t="s">
        <v>170</v>
      </c>
      <c r="B9" s="22">
        <v>0</v>
      </c>
      <c r="C9" s="22">
        <v>80</v>
      </c>
      <c r="D9" s="22">
        <f t="shared" si="0"/>
        <v>100</v>
      </c>
      <c r="E9" s="23" t="s">
        <v>41</v>
      </c>
      <c r="F9" s="23" t="s">
        <v>171</v>
      </c>
      <c r="G9" s="23" t="s">
        <v>172</v>
      </c>
      <c r="H9" s="23" t="s">
        <v>173</v>
      </c>
    </row>
    <row r="10" spans="1:8" ht="27.6">
      <c r="A10" s="2" t="s">
        <v>174</v>
      </c>
      <c r="B10" s="22">
        <v>0</v>
      </c>
      <c r="C10" s="22">
        <v>160</v>
      </c>
      <c r="D10" s="22">
        <f t="shared" si="0"/>
        <v>200</v>
      </c>
      <c r="E10" s="23" t="s">
        <v>41</v>
      </c>
      <c r="F10" s="23" t="s">
        <v>175</v>
      </c>
      <c r="G10" s="23" t="s">
        <v>43</v>
      </c>
      <c r="H10" s="23" t="s">
        <v>165</v>
      </c>
    </row>
    <row r="11" spans="1:8">
      <c r="A11" s="2" t="s">
        <v>176</v>
      </c>
      <c r="B11" s="22">
        <v>0.85</v>
      </c>
      <c r="C11" s="22">
        <v>160</v>
      </c>
      <c r="D11" s="22">
        <f t="shared" si="0"/>
        <v>200</v>
      </c>
      <c r="E11" s="23" t="s">
        <v>140</v>
      </c>
      <c r="F11" s="23" t="s">
        <v>177</v>
      </c>
      <c r="G11" s="23" t="s">
        <v>142</v>
      </c>
      <c r="H11" s="23" t="s">
        <v>178</v>
      </c>
    </row>
    <row r="12" spans="1:8">
      <c r="A12" s="2" t="s">
        <v>179</v>
      </c>
      <c r="B12" s="22">
        <v>0.85</v>
      </c>
      <c r="C12" s="22">
        <v>240</v>
      </c>
      <c r="D12" s="22">
        <f t="shared" si="0"/>
        <v>300</v>
      </c>
      <c r="E12" s="23" t="s">
        <v>52</v>
      </c>
      <c r="F12" s="23" t="s">
        <v>180</v>
      </c>
      <c r="G12" s="23" t="s">
        <v>181</v>
      </c>
      <c r="H12" s="23" t="s">
        <v>178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A</vt:lpstr>
      <vt:lpstr>Building B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MingzeSun</dc:creator>
  <cp:lastModifiedBy>Reuben Baddington</cp:lastModifiedBy>
  <dcterms:created xsi:type="dcterms:W3CDTF">2026-05-18T02:53:32Z</dcterms:created>
  <dcterms:modified xsi:type="dcterms:W3CDTF">2026-05-27T21:42:52Z</dcterms:modified>
</cp:coreProperties>
</file>