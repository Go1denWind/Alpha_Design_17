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versity\Engineering\Stage3\Semester1\ELECTENG310\Alpha_Design_17\excel\"/>
    </mc:Choice>
  </mc:AlternateContent>
  <xr:revisionPtr revIDLastSave="0" documentId="13_ncr:1_{3FA5FA7B-247A-443B-AB38-AF17296C5DA0}" xr6:coauthVersionLast="47" xr6:coauthVersionMax="47" xr10:uidLastSave="{00000000-0000-0000-0000-000000000000}"/>
  <bookViews>
    <workbookView xWindow="-108" yWindow="-108" windowWidth="23256" windowHeight="12456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F18" i="1"/>
  <c r="B21" i="1"/>
  <c r="B20" i="1"/>
  <c r="B19" i="1"/>
  <c r="G3" i="1" s="1"/>
  <c r="B17" i="1"/>
  <c r="B18" i="1" s="1"/>
  <c r="B15" i="1"/>
  <c r="E3" i="1" s="1"/>
  <c r="H18" i="1"/>
  <c r="G18" i="1"/>
  <c r="E18" i="1"/>
  <c r="B14" i="1"/>
  <c r="G12" i="1" l="1"/>
  <c r="G2" i="1"/>
  <c r="G11" i="1"/>
  <c r="G10" i="1"/>
  <c r="G9" i="1"/>
  <c r="G8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6" i="1" l="1"/>
  <c r="D7" i="1"/>
  <c r="D8" i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<sst xmlns="http://schemas.openxmlformats.org/spreadsheetml/2006/main" count="27" uniqueCount="27">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</sst>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="69" zoomScaleNormal="100" workbookViewId="0">
      <selection activeCell="F17" sqref="F17"/>
    </sheetView>
  </sheetViews>
  <sheetFormatPr defaultColWidth="8.77734375" defaultRowHeight="14.4" x14ac:dyDescent="0.3"/>
  <cols>
    <col min="1" max="1" width="41.44140625" customWidth="1"/>
    <col min="2" max="2" width="23.6640625" customWidth="1"/>
    <col min="3" max="3" width="25.77734375" customWidth="1"/>
    <col min="4" max="4" width="27.109375" customWidth="1"/>
    <col min="5" max="5" width="29.44140625" customWidth="1"/>
    <col min="6" max="6" width="29.33203125" customWidth="1"/>
    <col min="7" max="7" width="19.109375" customWidth="1"/>
    <col min="8" max="8" width="23.44140625" customWidth="1"/>
    <col min="9" max="9" width="35.44140625" customWidth="1"/>
    <col min="10" max="10" width="22.44140625" customWidth="1"/>
    <col min="11" max="11" width="17.44140625" customWidth="1"/>
    <col min="12" max="12" width="18.44140625" customWidth="1"/>
    <col min="13" max="13" width="16.109375" customWidth="1"/>
    <col min="14" max="14" width="19.44140625" customWidth="1"/>
  </cols>
  <sheetData>
    <row r="1" spans="1:9" x14ac:dyDescent="0.3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3">
      <c r="A2" s="4">
        <v>0</v>
      </c>
      <c r="B2" s="2">
        <f>$B$15*0.25*$B$14*A2</f>
        <v>0</v>
      </c>
      <c r="C2" s="2">
        <f>($B$16*$B$14*0.25*A2)+$B$18</f>
        <v>69300</v>
      </c>
      <c r="D2" s="2">
        <f>$B$22+($B$14*$B$19*0.25*A2)</f>
        <v>144400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3">
      <c r="A3" s="4">
        <v>1</v>
      </c>
      <c r="B3" s="2">
        <f t="shared" ref="B3:B12" si="0">$B$15*0.25*$B$14*A3</f>
        <v>14556.3</v>
      </c>
      <c r="C3" s="2">
        <f>($B$16*$B$14*0.25*A3)+$B$18</f>
        <v>74306.759999999995</v>
      </c>
      <c r="D3" s="2">
        <f t="shared" ref="D3:D12" si="1">$B$22+($B$14*$B$19*0.25*A3)</f>
        <v>151812.79</v>
      </c>
      <c r="E3" s="3">
        <f t="shared" ref="E3:E12" si="2">0.25*A3*$B$14*$B$15</f>
        <v>14556.3</v>
      </c>
      <c r="F3" s="3">
        <f t="shared" ref="F3:F12" si="3">0.25*A3*$B$14*$B$16</f>
        <v>5006.76</v>
      </c>
      <c r="G3" s="3">
        <f t="shared" ref="G3:G12" si="4">0.25*A3*$B$14*$B$19</f>
        <v>7412.7900000000009</v>
      </c>
    </row>
    <row r="4" spans="1:9" x14ac:dyDescent="0.3">
      <c r="A4" s="4">
        <v>2</v>
      </c>
      <c r="B4" s="2">
        <f t="shared" si="0"/>
        <v>29112.6</v>
      </c>
      <c r="C4" s="2">
        <f t="shared" ref="C4:C12" si="5">($B$16*$B$14*0.25*A4)+$B$18</f>
        <v>79313.52</v>
      </c>
      <c r="D4" s="2">
        <f t="shared" si="1"/>
        <v>159225.58000000002</v>
      </c>
      <c r="E4" s="3">
        <f t="shared" si="2"/>
        <v>29112.6</v>
      </c>
      <c r="F4" s="3">
        <f t="shared" si="3"/>
        <v>10013.52</v>
      </c>
      <c r="G4" s="3">
        <f t="shared" si="4"/>
        <v>14825.580000000002</v>
      </c>
    </row>
    <row r="5" spans="1:9" x14ac:dyDescent="0.3">
      <c r="A5" s="4">
        <v>3</v>
      </c>
      <c r="B5" s="2">
        <f t="shared" si="0"/>
        <v>43668.899999999994</v>
      </c>
      <c r="C5" s="2">
        <f t="shared" si="5"/>
        <v>84320.28</v>
      </c>
      <c r="D5" s="2">
        <f t="shared" si="1"/>
        <v>166638.37</v>
      </c>
      <c r="E5" s="3">
        <f t="shared" si="2"/>
        <v>43668.899999999994</v>
      </c>
      <c r="F5" s="3">
        <f t="shared" si="3"/>
        <v>15020.28</v>
      </c>
      <c r="G5" s="3">
        <f t="shared" si="4"/>
        <v>22238.370000000003</v>
      </c>
    </row>
    <row r="6" spans="1:9" x14ac:dyDescent="0.3">
      <c r="A6" s="4">
        <v>4</v>
      </c>
      <c r="B6" s="2">
        <f t="shared" si="0"/>
        <v>58225.2</v>
      </c>
      <c r="C6" s="2">
        <f t="shared" si="5"/>
        <v>89327.040000000008</v>
      </c>
      <c r="D6" s="2">
        <f t="shared" si="1"/>
        <v>174051.16</v>
      </c>
      <c r="E6" s="3">
        <f t="shared" si="2"/>
        <v>58225.2</v>
      </c>
      <c r="F6" s="3">
        <f t="shared" si="3"/>
        <v>20027.04</v>
      </c>
      <c r="G6" s="3">
        <f t="shared" si="4"/>
        <v>29651.160000000003</v>
      </c>
    </row>
    <row r="7" spans="1:9" x14ac:dyDescent="0.3">
      <c r="A7" s="4">
        <v>5</v>
      </c>
      <c r="B7" s="2">
        <f t="shared" si="0"/>
        <v>72781.5</v>
      </c>
      <c r="C7" s="2">
        <f t="shared" si="5"/>
        <v>94333.8</v>
      </c>
      <c r="D7" s="2">
        <f t="shared" si="1"/>
        <v>181463.95</v>
      </c>
      <c r="E7" s="3">
        <f t="shared" si="2"/>
        <v>72781.5</v>
      </c>
      <c r="F7" s="3">
        <f t="shared" si="3"/>
        <v>25033.800000000003</v>
      </c>
      <c r="G7" s="3">
        <f t="shared" si="4"/>
        <v>37063.950000000004</v>
      </c>
    </row>
    <row r="8" spans="1:9" x14ac:dyDescent="0.3">
      <c r="A8" s="4">
        <v>6</v>
      </c>
      <c r="B8" s="2">
        <f t="shared" si="0"/>
        <v>87337.799999999988</v>
      </c>
      <c r="C8" s="2">
        <f t="shared" si="5"/>
        <v>99340.56</v>
      </c>
      <c r="D8" s="2">
        <f t="shared" si="1"/>
        <v>188876.74</v>
      </c>
      <c r="E8" s="3">
        <f t="shared" si="2"/>
        <v>87337.799999999988</v>
      </c>
      <c r="F8" s="3">
        <f t="shared" si="3"/>
        <v>30040.560000000001</v>
      </c>
      <c r="G8" s="3">
        <f t="shared" si="4"/>
        <v>44476.740000000005</v>
      </c>
    </row>
    <row r="9" spans="1:9" x14ac:dyDescent="0.3">
      <c r="A9" s="4">
        <v>7</v>
      </c>
      <c r="B9" s="2">
        <f t="shared" si="0"/>
        <v>101894.09999999999</v>
      </c>
      <c r="C9" s="2">
        <f t="shared" si="5"/>
        <v>104347.32</v>
      </c>
      <c r="D9" s="2">
        <f t="shared" si="1"/>
        <v>196289.53</v>
      </c>
      <c r="E9" s="3">
        <f t="shared" si="2"/>
        <v>101894.09999999999</v>
      </c>
      <c r="F9" s="3">
        <f t="shared" si="3"/>
        <v>35047.32</v>
      </c>
      <c r="G9" s="3">
        <f t="shared" si="4"/>
        <v>51889.530000000006</v>
      </c>
    </row>
    <row r="10" spans="1:9" x14ac:dyDescent="0.3">
      <c r="A10" s="4">
        <v>8</v>
      </c>
      <c r="B10" s="2">
        <f t="shared" si="0"/>
        <v>116450.4</v>
      </c>
      <c r="C10" s="2">
        <f t="shared" si="5"/>
        <v>109354.08</v>
      </c>
      <c r="D10" s="2">
        <f t="shared" si="1"/>
        <v>203702.32</v>
      </c>
      <c r="E10" s="3">
        <f t="shared" si="2"/>
        <v>116450.4</v>
      </c>
      <c r="F10" s="3">
        <f t="shared" si="3"/>
        <v>40054.080000000002</v>
      </c>
      <c r="G10" s="3">
        <f t="shared" si="4"/>
        <v>59302.320000000007</v>
      </c>
    </row>
    <row r="11" spans="1:9" x14ac:dyDescent="0.3">
      <c r="A11" s="4">
        <v>9</v>
      </c>
      <c r="B11" s="2">
        <f t="shared" si="0"/>
        <v>131006.7</v>
      </c>
      <c r="C11" s="2">
        <f t="shared" si="5"/>
        <v>114360.84</v>
      </c>
      <c r="D11" s="2">
        <f t="shared" si="1"/>
        <v>211115.11000000002</v>
      </c>
      <c r="E11" s="3">
        <f t="shared" si="2"/>
        <v>131006.69999999998</v>
      </c>
      <c r="F11" s="3">
        <f t="shared" si="3"/>
        <v>45060.840000000004</v>
      </c>
      <c r="G11" s="3">
        <f t="shared" si="4"/>
        <v>66715.11</v>
      </c>
    </row>
    <row r="12" spans="1:9" x14ac:dyDescent="0.3">
      <c r="A12" s="4">
        <v>10</v>
      </c>
      <c r="B12" s="2">
        <f t="shared" si="0"/>
        <v>145563</v>
      </c>
      <c r="C12" s="2">
        <f t="shared" si="5"/>
        <v>119367.6</v>
      </c>
      <c r="D12" s="2">
        <f t="shared" si="1"/>
        <v>218527.90000000002</v>
      </c>
      <c r="E12" s="3">
        <f t="shared" si="2"/>
        <v>145563</v>
      </c>
      <c r="F12" s="3">
        <f t="shared" si="3"/>
        <v>50067.600000000006</v>
      </c>
      <c r="G12" s="3">
        <f t="shared" si="4"/>
        <v>74127.900000000009</v>
      </c>
    </row>
    <row r="14" spans="1:9" x14ac:dyDescent="0.3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3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>
        <v>0</v>
      </c>
    </row>
    <row r="16" spans="1:9" x14ac:dyDescent="0.3">
      <c r="A16" s="4" t="s">
        <v>11</v>
      </c>
      <c r="B16" s="1">
        <f>SUM(E18:H18)/1000</f>
        <v>6.0688000000000004</v>
      </c>
      <c r="D16" s="4" t="s">
        <v>24</v>
      </c>
      <c r="E16" s="1">
        <v>1093.5</v>
      </c>
      <c r="F16" s="1">
        <v>2905</v>
      </c>
      <c r="G16" s="1"/>
      <c r="H16" s="1">
        <v>2203.8000000000002</v>
      </c>
      <c r="I16" s="1">
        <v>2782.9</v>
      </c>
    </row>
    <row r="17" spans="1:9" x14ac:dyDescent="0.3">
      <c r="A17" s="4" t="s">
        <v>10</v>
      </c>
      <c r="B17" s="3">
        <f>SUM(E19:H19)</f>
        <v>231</v>
      </c>
      <c r="D17" s="4" t="s">
        <v>25</v>
      </c>
      <c r="E17" s="1">
        <v>46.2</v>
      </c>
      <c r="F17" s="1">
        <v>45</v>
      </c>
      <c r="G17" s="1"/>
      <c r="H17" s="1">
        <v>42.3</v>
      </c>
      <c r="I17" s="1">
        <v>51.3</v>
      </c>
    </row>
    <row r="18" spans="1:9" x14ac:dyDescent="0.3">
      <c r="A18" s="4" t="s">
        <v>14</v>
      </c>
      <c r="B18" s="2">
        <f>B17*300</f>
        <v>69300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0</v>
      </c>
      <c r="H18" s="1">
        <f t="shared" ref="H18:I18" si="7">H16-H17</f>
        <v>2161.5</v>
      </c>
      <c r="I18" s="1">
        <f t="shared" si="7"/>
        <v>2731.6</v>
      </c>
    </row>
    <row r="19" spans="1:9" x14ac:dyDescent="0.3">
      <c r="A19" s="4" t="s">
        <v>13</v>
      </c>
      <c r="B19" s="1">
        <f>SUM(E16:I16)/1000</f>
        <v>8.9852000000000007</v>
      </c>
      <c r="D19" s="4" t="s">
        <v>8</v>
      </c>
      <c r="E19" s="1">
        <v>64</v>
      </c>
      <c r="F19" s="1">
        <v>86</v>
      </c>
      <c r="G19" s="1"/>
      <c r="H19" s="1">
        <v>81</v>
      </c>
      <c r="I19" s="1">
        <v>112</v>
      </c>
    </row>
    <row r="20" spans="1:9" x14ac:dyDescent="0.3">
      <c r="A20" s="4" t="s">
        <v>16</v>
      </c>
      <c r="B20" s="1">
        <f>SUM(E19:I19)</f>
        <v>343</v>
      </c>
      <c r="D20" s="4" t="s">
        <v>9</v>
      </c>
      <c r="E20" s="1">
        <v>30</v>
      </c>
      <c r="F20" s="1">
        <v>34</v>
      </c>
      <c r="G20" s="1"/>
      <c r="H20" s="1">
        <v>31</v>
      </c>
      <c r="I20" s="1">
        <v>71</v>
      </c>
    </row>
    <row r="21" spans="1:9" x14ac:dyDescent="0.3">
      <c r="A21" s="4" t="s">
        <v>15</v>
      </c>
      <c r="B21" s="1">
        <f>SUM(E20:I20)</f>
        <v>166</v>
      </c>
    </row>
    <row r="22" spans="1:9" x14ac:dyDescent="0.3">
      <c r="A22" s="4" t="s">
        <v>2</v>
      </c>
      <c r="B22" s="2">
        <f>(B20*300)+(B21*250)</f>
        <v>144400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Reuben Baddington</cp:lastModifiedBy>
  <dcterms:created xsi:type="dcterms:W3CDTF">2026-06-02T02:24:39Z</dcterms:created>
  <dcterms:modified xsi:type="dcterms:W3CDTF">2026-06-04T04:36:48Z</dcterms:modified>
</cp:coreProperties>
</file>