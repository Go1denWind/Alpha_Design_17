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weiwi\OneDrive\Documents\GitHub\Alpha_Design_17\excel\"/>
    </mc:Choice>
  </mc:AlternateContent>
  <xr:revisionPtr revIDLastSave="0" documentId="13_ncr:1_{D4A10F68-4F54-4D16-A736-A8EA126E47E7}" xr6:coauthVersionLast="47" xr6:coauthVersionMax="47" xr10:uidLastSave="{00000000-0000-0000-0000-000000000000}"/>
  <bookViews>
    <workbookView xWindow="43080" yWindow="-120" windowWidth="29040" windowHeight="15720" xr2:uid="{F8E8E83B-9F9C-423D-B7EA-650D4FA9D87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24" i="1" l="1"/>
  <c r="G10" i="1" s="1"/>
  <c r="B23" i="1"/>
  <c r="B20" i="1"/>
  <c r="B19" i="1"/>
  <c r="G4" i="1" l="1"/>
  <c r="G3" i="1"/>
  <c r="G9" i="1"/>
  <c r="G5" i="1"/>
  <c r="G12" i="1"/>
  <c r="G8" i="1"/>
  <c r="G2" i="1"/>
  <c r="G7" i="1"/>
  <c r="G6" i="1"/>
  <c r="G11" i="1"/>
  <c r="I18" i="1"/>
  <c r="F18" i="1"/>
  <c r="B21" i="1"/>
  <c r="B17" i="1"/>
  <c r="B18" i="1" s="1"/>
  <c r="B15" i="1"/>
  <c r="H18" i="1"/>
  <c r="G18" i="1"/>
  <c r="E18" i="1"/>
  <c r="B14" i="1"/>
  <c r="E3" i="1" l="1"/>
  <c r="B16" i="1"/>
  <c r="E2" i="1"/>
  <c r="B7" i="1"/>
  <c r="B6" i="1"/>
  <c r="B5" i="1"/>
  <c r="B3" i="1"/>
  <c r="B2" i="1"/>
  <c r="B12" i="1"/>
  <c r="E12" i="1"/>
  <c r="E11" i="1"/>
  <c r="B9" i="1"/>
  <c r="B11" i="1"/>
  <c r="B10" i="1"/>
  <c r="E10" i="1"/>
  <c r="E9" i="1"/>
  <c r="E8" i="1"/>
  <c r="E7" i="1"/>
  <c r="E6" i="1"/>
  <c r="E5" i="1"/>
  <c r="B8" i="1"/>
  <c r="B4" i="1"/>
  <c r="E4" i="1"/>
  <c r="B22" i="1"/>
  <c r="D11" i="1" l="1"/>
  <c r="D8" i="1"/>
  <c r="D9" i="1"/>
  <c r="D7" i="1"/>
  <c r="D6" i="1"/>
  <c r="D4" i="1"/>
  <c r="D5" i="1"/>
  <c r="D3" i="1"/>
  <c r="D2" i="1"/>
  <c r="D12" i="1"/>
  <c r="D10" i="1"/>
  <c r="F3" i="1"/>
  <c r="F4" i="1"/>
  <c r="C4" i="1"/>
  <c r="F5" i="1"/>
  <c r="C5" i="1"/>
  <c r="F2" i="1"/>
  <c r="C3" i="1"/>
  <c r="C2" i="1"/>
  <c r="C7" i="1"/>
  <c r="F12" i="1"/>
  <c r="C12" i="1"/>
  <c r="F6" i="1"/>
  <c r="C6" i="1"/>
  <c r="F7" i="1"/>
  <c r="F8" i="1"/>
  <c r="C8" i="1"/>
  <c r="F9" i="1"/>
  <c r="C9" i="1"/>
  <c r="F10" i="1"/>
  <c r="C10" i="1"/>
  <c r="F11" i="1"/>
  <c r="C11" i="1"/>
</calcChain>
</file>

<file path=xl/sharedStrings.xml><?xml version="1.0" encoding="utf-8"?>
<sst xmlns="http://schemas.openxmlformats.org/spreadsheetml/2006/main" count="29" uniqueCount="29">
  <si>
    <t>Years</t>
  </si>
  <si>
    <t>Hours per year:</t>
  </si>
  <si>
    <t>Total Investment Cost:</t>
  </si>
  <si>
    <t>Building A Ground</t>
  </si>
  <si>
    <t>Building A First Floor</t>
  </si>
  <si>
    <t>Building B Ground</t>
  </si>
  <si>
    <t>Building B First Floor</t>
  </si>
  <si>
    <t>Carpark</t>
  </si>
  <si>
    <t>Number of Luminaires</t>
  </si>
  <si>
    <t>Number of Emergency</t>
  </si>
  <si>
    <t>Luminaires (excl. emergency &amp; carpark):</t>
  </si>
  <si>
    <t>Power (excl. emergency &amp; carpark) [kW]:</t>
  </si>
  <si>
    <t>Existing Total Power [kW]:</t>
  </si>
  <si>
    <t>Total Power [kW]:</t>
  </si>
  <si>
    <t>Investment Cost (excl. emergency &amp; carpark):</t>
  </si>
  <si>
    <t>Emergency Luminaires:</t>
  </si>
  <si>
    <t>Luminaires (excl. emergency)</t>
  </si>
  <si>
    <t>CO2 Emissions Existing (kg)</t>
  </si>
  <si>
    <t>Total Cost ($)</t>
  </si>
  <si>
    <t>Proposed System Cost ($)</t>
  </si>
  <si>
    <t>Existing System Cost ($)</t>
  </si>
  <si>
    <t>CO2 Emissions Proposed (kg)</t>
  </si>
  <si>
    <t>Total CO2 (kg)</t>
  </si>
  <si>
    <t>Existing Power (W)</t>
  </si>
  <si>
    <t>Total Power (W)</t>
  </si>
  <si>
    <t>Emergency Power (W)</t>
  </si>
  <si>
    <t>Power excl. emergency (W)</t>
  </si>
  <si>
    <t>Hours per year (Carpark):</t>
  </si>
  <si>
    <t>Total Power (excl. carpark) [kW]: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</si>
</sst>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&quot;$&quot;* #,##0.00_);_(&quot;$&quot;* \(#,##0.00\);_(&quot;$&quot;* &quot;-&quot;??_);_(@_)"/>
  </numFmts>
  <fonts count="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5">
    <xf numFmtId="0" fontId="0" fillId="0" borderId="0" xfId="0"/>
    <xf numFmtId="0" fontId="0" fillId="0" borderId="1" xfId="0" applyBorder="1"/>
    <xf numFmtId="164" fontId="0" fillId="0" borderId="1" xfId="1" applyFont="1" applyBorder="1"/>
    <xf numFmtId="1" fontId="0" fillId="0" borderId="1" xfId="0" applyNumberFormat="1" applyBorder="1"/>
    <xf numFmtId="0" fontId="2" fillId="2" borderId="1" xfId="0" applyFont="1" applyFill="1" applyBorder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Comparing</a:t>
            </a:r>
            <a:r>
              <a:rPr lang="en-NZ" baseline="0"/>
              <a:t> Existing and Proposed System Costs</a:t>
            </a:r>
            <a:endParaRPr lang="en-NZ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Existing System Cost ($)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Sheet1!$A$2:$A$12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xVal>
          <c:yVal>
            <c:numRef>
              <c:f>Sheet1!$B$2:$B$12</c:f>
              <c:numCache>
                <c:formatCode>_("$"* #,##0.00_);_("$"* \(#,##0.00\);_("$"* "-"??_);_(@_)</c:formatCode>
                <c:ptCount val="11"/>
                <c:pt idx="0">
                  <c:v>0</c:v>
                </c:pt>
                <c:pt idx="1">
                  <c:v>20978.100000000002</c:v>
                </c:pt>
                <c:pt idx="2">
                  <c:v>41956.200000000004</c:v>
                </c:pt>
                <c:pt idx="3">
                  <c:v>62934.3</c:v>
                </c:pt>
                <c:pt idx="4">
                  <c:v>83912.400000000009</c:v>
                </c:pt>
                <c:pt idx="5">
                  <c:v>104890.50000000001</c:v>
                </c:pt>
                <c:pt idx="6">
                  <c:v>125868.6</c:v>
                </c:pt>
                <c:pt idx="7">
                  <c:v>146846.70000000001</c:v>
                </c:pt>
                <c:pt idx="8">
                  <c:v>167824.80000000002</c:v>
                </c:pt>
                <c:pt idx="9">
                  <c:v>188802.90000000002</c:v>
                </c:pt>
                <c:pt idx="10">
                  <c:v>209781.00000000003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327-4869-83B3-70829AA064EA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Proposed System Cost ($)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Sheet1!$A$2:$A$12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xVal>
          <c:yVal>
            <c:numRef>
              <c:f>Sheet1!$C$2:$C$12</c:f>
              <c:numCache>
                <c:formatCode>_("$"* #,##0.00_);_("$"* \(#,##0.00\);_("$"* "-"??_);_(@_)</c:formatCode>
                <c:ptCount val="11"/>
                <c:pt idx="0">
                  <c:v>91500</c:v>
                </c:pt>
                <c:pt idx="1">
                  <c:v>97794.997499999998</c:v>
                </c:pt>
                <c:pt idx="2">
                  <c:v>104089.995</c:v>
                </c:pt>
                <c:pt idx="3">
                  <c:v>110384.99249999999</c:v>
                </c:pt>
                <c:pt idx="4">
                  <c:v>116679.99</c:v>
                </c:pt>
                <c:pt idx="5">
                  <c:v>122974.9875</c:v>
                </c:pt>
                <c:pt idx="6">
                  <c:v>129269.985</c:v>
                </c:pt>
                <c:pt idx="7">
                  <c:v>135564.98250000001</c:v>
                </c:pt>
                <c:pt idx="8">
                  <c:v>141859.98000000001</c:v>
                </c:pt>
                <c:pt idx="9">
                  <c:v>148154.97750000001</c:v>
                </c:pt>
                <c:pt idx="10">
                  <c:v>154449.97500000001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327-4869-83B3-70829AA064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3549344"/>
        <c:axId val="553540192"/>
      </c:scatterChart>
      <c:valAx>
        <c:axId val="5535493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Years</a:t>
                </a:r>
              </a:p>
              <a:p>
                <a:pPr>
                  <a:defRPr/>
                </a:pPr>
                <a:endParaRPr lang="en-NZ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3540192"/>
        <c:crosses val="autoZero"/>
        <c:crossBetween val="midCat"/>
      </c:valAx>
      <c:valAx>
        <c:axId val="553540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 Ttal</a:t>
                </a:r>
                <a:r>
                  <a:rPr lang="en-NZ" baseline="0"/>
                  <a:t> Cost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35493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1030941</xdr:colOff>
      <xdr:row>22</xdr:row>
      <xdr:rowOff>46704</xdr:rowOff>
    </xdr:from>
    <xdr:to>
      <xdr:col>7</xdr:col>
      <xdr:colOff>952500</xdr:colOff>
      <xdr:row>44</xdr:row>
      <xdr:rowOff>49585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EC583EE-6DF1-45A6-9A7F-9CD2BD773B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7E6F8D-4308-4D2A-878D-2A8D77E451CB}">
  <dimension ref="A1:I24"/>
  <sheetViews>
    <sheetView tabSelected="1" zoomScale="85" zoomScaleNormal="85" workbookViewId="0">
      <selection activeCell="E10" sqref="E10"/>
    </sheetView>
  </sheetViews>
  <sheetFormatPr defaultColWidth="8.75" defaultRowHeight="13.5"/>
  <cols>
    <col min="1" max="1" width="41.4375" customWidth="1"/>
    <col min="2" max="2" width="23.6875" customWidth="1"/>
    <col min="3" max="3" width="25.75" customWidth="1"/>
    <col min="4" max="4" width="27.125" customWidth="1"/>
    <col min="5" max="5" width="29.4375" customWidth="1"/>
    <col min="6" max="6" width="29.3125" customWidth="1"/>
    <col min="7" max="7" width="19.125" customWidth="1"/>
    <col min="8" max="8" width="23.4375" customWidth="1"/>
    <col min="9" max="9" width="35.4375" customWidth="1"/>
    <col min="10" max="10" width="22.4375" customWidth="1"/>
    <col min="11" max="11" width="17.4375" customWidth="1"/>
    <col min="12" max="12" width="18.4375" customWidth="1"/>
    <col min="13" max="13" width="16.125" customWidth="1"/>
    <col min="14" max="14" width="19.4375" customWidth="1"/>
  </cols>
  <sheetData>
    <row r="1" spans="1:9" ht="13.9">
      <c r="A1" s="4" t="s">
        <v>0</v>
      </c>
      <c r="B1" s="4" t="s">
        <v>20</v>
      </c>
      <c r="C1" s="4" t="s">
        <v>19</v>
      </c>
      <c r="D1" s="4" t="s">
        <v>18</v>
      </c>
      <c r="E1" s="4" t="s">
        <v>17</v>
      </c>
      <c r="F1" s="4" t="s">
        <v>21</v>
      </c>
      <c r="G1" s="4" t="s">
        <v>22</v>
      </c>
    </row>
    <row r="2" spans="1:9" ht="13.9">
      <c r="A2" s="4">
        <v>0</v>
      </c>
      <c r="B2" s="2">
        <f>$B$15*0.25*$B$14*A2</f>
        <v>0</v>
      </c>
      <c r="C2" s="2">
        <f>($B$16*$B$14*0.25*A2)+$B$18</f>
        <v>91500</v>
      </c>
      <c r="D2" s="2">
        <f>$B$22+((($B$14*$B$24) + ($I$16*$B$23/1000)) *0.25*A2)</f>
        <v>175850</v>
      </c>
      <c r="E2" s="3">
        <f>0.25*A2*$B$14*$B$15</f>
        <v>0</v>
      </c>
      <c r="F2" s="3">
        <f>0.25*A2*$B$14*$B$16</f>
        <v>0</v>
      </c>
      <c r="G2" s="3">
        <f>0.25*A2*(($B$14*$B$24)+($I$16*$B$23/1000))</f>
        <v>0</v>
      </c>
    </row>
    <row r="3" spans="1:9" ht="13.9">
      <c r="A3" s="4">
        <v>1</v>
      </c>
      <c r="B3" s="2">
        <f t="shared" ref="B3:B12" si="0">$B$15*0.25*$B$14*A3</f>
        <v>20978.100000000002</v>
      </c>
      <c r="C3" s="2">
        <f>($B$16*$B$14*0.25*A3)+$B$18</f>
        <v>97794.997499999998</v>
      </c>
      <c r="D3" s="2">
        <f t="shared" ref="D3:D12" si="1">$B$22+((($B$14*$B$24) + ($I$16*$B$23/1000)) *0.25*A3)</f>
        <v>188381.4161</v>
      </c>
      <c r="E3" s="3">
        <f t="shared" ref="E3:E12" si="2">0.25*A3*$B$14*$B$15</f>
        <v>20978.100000000002</v>
      </c>
      <c r="F3" s="3">
        <f t="shared" ref="F3:F12" si="3">0.25*A3*$B$14*$B$16</f>
        <v>6294.9975000000004</v>
      </c>
      <c r="G3" s="3">
        <f t="shared" ref="G3:G12" si="4">0.25*A3*(($B$14*$B$24)+($I$16*$B$23/1000))</f>
        <v>12531.4161</v>
      </c>
    </row>
    <row r="4" spans="1:9" ht="13.9">
      <c r="A4" s="4">
        <v>2</v>
      </c>
      <c r="B4" s="2">
        <f t="shared" si="0"/>
        <v>41956.200000000004</v>
      </c>
      <c r="C4" s="2">
        <f t="shared" ref="C4:C12" si="5">($B$16*$B$14*0.25*A4)+$B$18</f>
        <v>104089.995</v>
      </c>
      <c r="D4" s="2">
        <f t="shared" si="1"/>
        <v>200912.8322</v>
      </c>
      <c r="E4" s="3">
        <f t="shared" si="2"/>
        <v>41956.200000000004</v>
      </c>
      <c r="F4" s="3">
        <f t="shared" si="3"/>
        <v>12589.995000000001</v>
      </c>
      <c r="G4" s="3">
        <f t="shared" si="4"/>
        <v>25062.832200000001</v>
      </c>
    </row>
    <row r="5" spans="1:9" ht="13.9">
      <c r="A5" s="4">
        <v>3</v>
      </c>
      <c r="B5" s="2">
        <f t="shared" si="0"/>
        <v>62934.3</v>
      </c>
      <c r="C5" s="2">
        <f t="shared" si="5"/>
        <v>110384.99249999999</v>
      </c>
      <c r="D5" s="2">
        <f t="shared" si="1"/>
        <v>213444.24830000001</v>
      </c>
      <c r="E5" s="3">
        <f t="shared" si="2"/>
        <v>62934.3</v>
      </c>
      <c r="F5" s="3">
        <f t="shared" si="3"/>
        <v>18884.9925</v>
      </c>
      <c r="G5" s="3">
        <f t="shared" si="4"/>
        <v>37594.248299999999</v>
      </c>
    </row>
    <row r="6" spans="1:9" ht="13.9">
      <c r="A6" s="4">
        <v>4</v>
      </c>
      <c r="B6" s="2">
        <f t="shared" si="0"/>
        <v>83912.400000000009</v>
      </c>
      <c r="C6" s="2">
        <f t="shared" si="5"/>
        <v>116679.99</v>
      </c>
      <c r="D6" s="2">
        <f t="shared" si="1"/>
        <v>225975.66440000001</v>
      </c>
      <c r="E6" s="3">
        <f t="shared" si="2"/>
        <v>83912.400000000009</v>
      </c>
      <c r="F6" s="3">
        <f t="shared" si="3"/>
        <v>25179.99</v>
      </c>
      <c r="G6" s="3">
        <f t="shared" si="4"/>
        <v>50125.664400000001</v>
      </c>
    </row>
    <row r="7" spans="1:9" ht="13.9">
      <c r="A7" s="4">
        <v>5</v>
      </c>
      <c r="B7" s="2">
        <f t="shared" si="0"/>
        <v>104890.50000000001</v>
      </c>
      <c r="C7" s="2">
        <f t="shared" si="5"/>
        <v>122974.9875</v>
      </c>
      <c r="D7" s="2">
        <f t="shared" si="1"/>
        <v>238507.08050000001</v>
      </c>
      <c r="E7" s="3">
        <f t="shared" si="2"/>
        <v>104890.5</v>
      </c>
      <c r="F7" s="3">
        <f t="shared" si="3"/>
        <v>31474.987499999999</v>
      </c>
      <c r="G7" s="3">
        <f t="shared" si="4"/>
        <v>62657.080500000004</v>
      </c>
    </row>
    <row r="8" spans="1:9" ht="13.9">
      <c r="A8" s="4">
        <v>6</v>
      </c>
      <c r="B8" s="2">
        <f t="shared" si="0"/>
        <v>125868.6</v>
      </c>
      <c r="C8" s="2">
        <f t="shared" si="5"/>
        <v>129269.985</v>
      </c>
      <c r="D8" s="2">
        <f t="shared" si="1"/>
        <v>251038.49660000001</v>
      </c>
      <c r="E8" s="3">
        <f t="shared" si="2"/>
        <v>125868.6</v>
      </c>
      <c r="F8" s="3">
        <f t="shared" si="3"/>
        <v>37769.985000000001</v>
      </c>
      <c r="G8" s="3">
        <f t="shared" si="4"/>
        <v>75188.496599999999</v>
      </c>
    </row>
    <row r="9" spans="1:9" ht="13.9">
      <c r="A9" s="4">
        <v>7</v>
      </c>
      <c r="B9" s="2">
        <f t="shared" si="0"/>
        <v>146846.70000000001</v>
      </c>
      <c r="C9" s="2">
        <f t="shared" si="5"/>
        <v>135564.98250000001</v>
      </c>
      <c r="D9" s="2">
        <f t="shared" si="1"/>
        <v>263569.91269999999</v>
      </c>
      <c r="E9" s="3">
        <f t="shared" si="2"/>
        <v>146846.70000000001</v>
      </c>
      <c r="F9" s="3">
        <f t="shared" si="3"/>
        <v>44064.982499999998</v>
      </c>
      <c r="G9" s="3">
        <f t="shared" si="4"/>
        <v>87719.912700000001</v>
      </c>
    </row>
    <row r="10" spans="1:9" ht="13.9">
      <c r="A10" s="4">
        <v>8</v>
      </c>
      <c r="B10" s="2">
        <f t="shared" si="0"/>
        <v>167824.80000000002</v>
      </c>
      <c r="C10" s="2">
        <f t="shared" si="5"/>
        <v>141859.98000000001</v>
      </c>
      <c r="D10" s="2">
        <f t="shared" si="1"/>
        <v>276101.32880000002</v>
      </c>
      <c r="E10" s="3">
        <f t="shared" si="2"/>
        <v>167824.80000000002</v>
      </c>
      <c r="F10" s="3">
        <f t="shared" si="3"/>
        <v>50359.98</v>
      </c>
      <c r="G10" s="3">
        <f>0.25*A10*(($B$14*$B$24)+($I$16*$B$23/1000))</f>
        <v>100251.3288</v>
      </c>
    </row>
    <row r="11" spans="1:9" ht="13.9">
      <c r="A11" s="4">
        <v>9</v>
      </c>
      <c r="B11" s="2">
        <f t="shared" si="0"/>
        <v>188802.90000000002</v>
      </c>
      <c r="C11" s="2">
        <f t="shared" si="5"/>
        <v>148154.97750000001</v>
      </c>
      <c r="D11" s="2">
        <f t="shared" si="1"/>
        <v>288632.74489999999</v>
      </c>
      <c r="E11" s="3">
        <f t="shared" si="2"/>
        <v>188802.9</v>
      </c>
      <c r="F11" s="3">
        <f t="shared" si="3"/>
        <v>56654.977500000001</v>
      </c>
      <c r="G11" s="3">
        <f t="shared" si="4"/>
        <v>112782.74490000001</v>
      </c>
    </row>
    <row r="12" spans="1:9" ht="13.9">
      <c r="A12" s="4">
        <v>10</v>
      </c>
      <c r="B12" s="2">
        <f t="shared" si="0"/>
        <v>209781.00000000003</v>
      </c>
      <c r="C12" s="2">
        <f t="shared" si="5"/>
        <v>154449.97500000001</v>
      </c>
      <c r="D12" s="2">
        <f t="shared" si="1"/>
        <v>301164.16100000002</v>
      </c>
      <c r="E12" s="3">
        <f t="shared" si="2"/>
        <v>209781</v>
      </c>
      <c r="F12" s="3">
        <f t="shared" si="3"/>
        <v>62949.974999999999</v>
      </c>
      <c r="G12" s="3">
        <f t="shared" si="4"/>
        <v>125314.16100000001</v>
      </c>
    </row>
    <row r="14" spans="1:9" ht="13.9">
      <c r="A14" s="4" t="s">
        <v>1</v>
      </c>
      <c r="B14" s="1">
        <f>12*5.5*50</f>
        <v>3300</v>
      </c>
      <c r="D14" s="4"/>
      <c r="E14" s="4" t="s">
        <v>3</v>
      </c>
      <c r="F14" s="4" t="s">
        <v>4</v>
      </c>
      <c r="G14" s="4" t="s">
        <v>5</v>
      </c>
      <c r="H14" s="4" t="s">
        <v>6</v>
      </c>
      <c r="I14" s="4" t="s">
        <v>7</v>
      </c>
    </row>
    <row r="15" spans="1:9" ht="13.9">
      <c r="A15" s="4" t="s">
        <v>12</v>
      </c>
      <c r="B15" s="1">
        <f>SUM(E15:H15)/1000</f>
        <v>25.428000000000001</v>
      </c>
      <c r="D15" s="4" t="s">
        <v>23</v>
      </c>
      <c r="E15" s="1">
        <v>5940</v>
      </c>
      <c r="F15" s="1">
        <v>5852</v>
      </c>
      <c r="G15" s="1">
        <v>7784</v>
      </c>
      <c r="H15" s="1">
        <v>5852</v>
      </c>
      <c r="I15" s="1">
        <v>0</v>
      </c>
    </row>
    <row r="16" spans="1:9" ht="13.9">
      <c r="A16" s="4" t="s">
        <v>11</v>
      </c>
      <c r="B16" s="1">
        <f>SUM(E18:H18)/1000</f>
        <v>7.6303000000000001</v>
      </c>
      <c r="D16" s="4" t="s">
        <v>24</v>
      </c>
      <c r="E16" s="1">
        <v>1097.5</v>
      </c>
      <c r="F16" s="1">
        <v>2905</v>
      </c>
      <c r="G16" s="1">
        <v>1697.5</v>
      </c>
      <c r="H16" s="1">
        <v>2122.5</v>
      </c>
      <c r="I16" s="1">
        <v>2782.9</v>
      </c>
    </row>
    <row r="17" spans="1:9" ht="13.9">
      <c r="A17" s="4" t="s">
        <v>10</v>
      </c>
      <c r="B17" s="3">
        <f>SUM(E19:H19)</f>
        <v>305</v>
      </c>
      <c r="D17" s="4" t="s">
        <v>25</v>
      </c>
      <c r="E17" s="1">
        <v>50.2</v>
      </c>
      <c r="F17" s="1">
        <v>45</v>
      </c>
      <c r="G17" s="1">
        <v>56.5</v>
      </c>
      <c r="H17" s="1">
        <v>40.5</v>
      </c>
      <c r="I17" s="1">
        <v>51.3</v>
      </c>
    </row>
    <row r="18" spans="1:9" ht="13.9">
      <c r="A18" s="4" t="s">
        <v>14</v>
      </c>
      <c r="B18" s="2">
        <f>B17*300</f>
        <v>91500</v>
      </c>
      <c r="D18" s="4" t="s">
        <v>26</v>
      </c>
      <c r="E18" s="1">
        <f>E16-E17</f>
        <v>1047.3</v>
      </c>
      <c r="F18" s="1">
        <f>F16-F17</f>
        <v>2860</v>
      </c>
      <c r="G18" s="1">
        <f t="shared" ref="G18" si="6">G16-G17</f>
        <v>1641</v>
      </c>
      <c r="H18" s="1">
        <f t="shared" ref="H18:I18" si="7">H16-H17</f>
        <v>2082</v>
      </c>
      <c r="I18" s="1">
        <f t="shared" si="7"/>
        <v>2731.6</v>
      </c>
    </row>
    <row r="19" spans="1:9" ht="13.9">
      <c r="A19" s="4" t="s">
        <v>13</v>
      </c>
      <c r="B19" s="1">
        <f>SUM(E16:I16)/1000</f>
        <v>10.605399999999999</v>
      </c>
      <c r="D19" s="4" t="s">
        <v>8</v>
      </c>
      <c r="E19" s="1">
        <v>64</v>
      </c>
      <c r="F19" s="1">
        <v>86</v>
      </c>
      <c r="G19" s="1">
        <v>77</v>
      </c>
      <c r="H19" s="1">
        <v>78</v>
      </c>
      <c r="I19" s="1">
        <v>112</v>
      </c>
    </row>
    <row r="20" spans="1:9" ht="13.9">
      <c r="A20" s="4" t="s">
        <v>16</v>
      </c>
      <c r="B20" s="1">
        <f>SUM(E19:I19)</f>
        <v>417</v>
      </c>
      <c r="D20" s="4" t="s">
        <v>9</v>
      </c>
      <c r="E20" s="1">
        <v>30</v>
      </c>
      <c r="F20" s="1">
        <v>34</v>
      </c>
      <c r="G20" s="1">
        <v>39</v>
      </c>
      <c r="H20" s="1">
        <v>29</v>
      </c>
      <c r="I20" s="1">
        <v>71</v>
      </c>
    </row>
    <row r="21" spans="1:9" ht="13.9">
      <c r="A21" s="4" t="s">
        <v>15</v>
      </c>
      <c r="B21" s="1">
        <f>SUM(E20:I20)</f>
        <v>203</v>
      </c>
    </row>
    <row r="22" spans="1:9" ht="13.9">
      <c r="A22" s="4" t="s">
        <v>2</v>
      </c>
      <c r="B22" s="2">
        <f>(B20*300)+(B21*250)</f>
        <v>175850</v>
      </c>
    </row>
    <row r="23" spans="1:9" ht="13.9">
      <c r="A23" s="4" t="s">
        <v>27</v>
      </c>
      <c r="B23" s="1">
        <f>24*52*7</f>
        <v>8736</v>
      </c>
    </row>
    <row r="24" spans="1:9" ht="13.9">
      <c r="A24" s="4" t="s">
        <v>28</v>
      </c>
      <c r="B24" s="1">
        <f>SUM(E16:H16)/1000</f>
        <v>7.8224999999999998</v>
      </c>
    </row>
  </sheetData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d1b36e95-0d50-42e9-958f-b63fa906beaa}" enabled="0" method="" siteId="{d1b36e95-0d50-42e9-958f-b63fa906beaa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Wei</dc:creator>
  <cp:lastModifiedBy>William Wei</cp:lastModifiedBy>
  <dcterms:created xsi:type="dcterms:W3CDTF">2026-06-02T02:24:39Z</dcterms:created>
  <dcterms:modified xsi:type="dcterms:W3CDTF">2026-06-07T06:45:31Z</dcterms:modified>
</cp:coreProperties>
</file>