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10_Project1\Alpha_Design_17\Excel\"/>
    </mc:Choice>
  </mc:AlternateContent>
  <xr:revisionPtr revIDLastSave="0" documentId="13_ncr:1_{6FE54094-97F6-4839-AA0B-E9AF3D2B7AAA}" xr6:coauthVersionLast="47" xr6:coauthVersionMax="47" xr10:uidLastSave="{00000000-0000-0000-0000-000000000000}"/>
  <bookViews>
    <workbookView xWindow="-108" yWindow="-108" windowWidth="23256" windowHeight="12456" xr2:uid="{F8E8E83B-9F9C-423D-B7EA-650D4FA9D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F18" i="1"/>
  <c r="B21" i="1"/>
  <c r="B20" i="1"/>
  <c r="B19" i="1"/>
  <c r="G3" i="1" s="1"/>
  <c r="B17" i="1"/>
  <c r="B18" i="1" s="1"/>
  <c r="B15" i="1"/>
  <c r="E3" i="1" s="1"/>
  <c r="H18" i="1"/>
  <c r="G18" i="1"/>
  <c r="E18" i="1"/>
  <c r="B14" i="1"/>
  <c r="G12" i="1" l="1"/>
  <c r="G2" i="1"/>
  <c r="G11" i="1"/>
  <c r="G10" i="1"/>
  <c r="G9" i="1"/>
  <c r="G8" i="1"/>
  <c r="G6" i="1"/>
  <c r="B16" i="1"/>
  <c r="G7" i="1"/>
  <c r="G5" i="1"/>
  <c r="G4" i="1"/>
  <c r="E2" i="1"/>
  <c r="B7" i="1"/>
  <c r="B6" i="1"/>
  <c r="B5" i="1"/>
  <c r="B3" i="1"/>
  <c r="B2" i="1"/>
  <c r="B12" i="1"/>
  <c r="E12" i="1"/>
  <c r="E11" i="1"/>
  <c r="B9" i="1"/>
  <c r="B11" i="1"/>
  <c r="B10" i="1"/>
  <c r="E10" i="1"/>
  <c r="E9" i="1"/>
  <c r="E8" i="1"/>
  <c r="E7" i="1"/>
  <c r="E6" i="1"/>
  <c r="E5" i="1"/>
  <c r="B8" i="1"/>
  <c r="B4" i="1"/>
  <c r="E4" i="1"/>
  <c r="B22" i="1"/>
  <c r="D5" i="1" s="1"/>
  <c r="D6" i="1" l="1"/>
  <c r="D7" i="1"/>
  <c r="D8" i="1"/>
  <c r="D3" i="1"/>
  <c r="D12" i="1"/>
  <c r="D2" i="1"/>
  <c r="D9" i="1"/>
  <c r="D11" i="1"/>
  <c r="D4" i="1"/>
  <c r="D10" i="1"/>
  <c r="F3" i="1"/>
  <c r="F4" i="1"/>
  <c r="C4" i="1"/>
  <c r="F5" i="1"/>
  <c r="C5" i="1"/>
  <c r="F2" i="1"/>
  <c r="C3" i="1"/>
  <c r="C2" i="1"/>
  <c r="C7" i="1"/>
  <c r="F12" i="1"/>
  <c r="C12" i="1"/>
  <c r="F6" i="1"/>
  <c r="C6" i="1"/>
  <c r="F7" i="1"/>
  <c r="F8" i="1"/>
  <c r="C8" i="1"/>
  <c r="F9" i="1"/>
  <c r="C9" i="1"/>
  <c r="F10" i="1"/>
  <c r="C10" i="1"/>
  <c r="F11" i="1"/>
  <c r="C11" i="1"/>
</calcChain>
</file>

<file path=xl/sharedStrings.xml><?xml version="1.0" encoding="utf-8"?>
<sst xmlns="http://schemas.openxmlformats.org/spreadsheetml/2006/main" count="27" uniqueCount="27">
  <si>
    <t>Years</t>
  </si>
  <si>
    <t>Hours per year:</t>
  </si>
  <si>
    <t>Total Investment Cost:</t>
  </si>
  <si>
    <t>Building A Ground</t>
  </si>
  <si>
    <t>Building A First Floor</t>
  </si>
  <si>
    <t>Building B Ground</t>
  </si>
  <si>
    <t>Building B First Floor</t>
  </si>
  <si>
    <t>Carpark</t>
  </si>
  <si>
    <t>Number of Luminaires</t>
  </si>
  <si>
    <t>Number of Emergency</t>
  </si>
  <si>
    <t>Luminaires (excl. emergency &amp; carpark):</t>
  </si>
  <si>
    <t>Power (excl. emergency &amp; carpark) [kW]:</t>
  </si>
  <si>
    <t>Existing Total Power [kW]:</t>
  </si>
  <si>
    <t>Total Power [kW]:</t>
  </si>
  <si>
    <t>Investment Cost (excl. emergency &amp; carpark):</t>
  </si>
  <si>
    <t>Emergency Luminaires:</t>
  </si>
  <si>
    <t>Luminaires (excl. emergency)</t>
  </si>
  <si>
    <t>CO2 Emissions Existing (kg)</t>
  </si>
  <si>
    <t>Total Cost ($)</t>
  </si>
  <si>
    <t>Proposed System Cost ($)</t>
  </si>
  <si>
    <t>Existing System Cost ($)</t>
  </si>
  <si>
    <t>CO2 Emissions Proposed (kg)</t>
  </si>
  <si>
    <t>Total CO2 (kg)</t>
  </si>
  <si>
    <t>Existing Power (W)</t>
  </si>
  <si>
    <t>Total Power (W)</t>
  </si>
  <si>
    <t>Emergency Power (W)</t>
  </si>
  <si>
    <t>Power excl. emergency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</si>
</sst>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4" fontId="0" fillId="0" borderId="1" xfId="1" applyFont="1" applyBorder="1"/>
    <xf numFmtId="1" fontId="0" fillId="0" borderId="1" xfId="0" applyNumberFormat="1" applyBorder="1"/>
    <xf numFmtId="0" fontId="2" fillId="2" borderId="1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6F8D-4308-4D2A-878D-2A8D77E451CB}">
  <dimension ref="A1:I22"/>
  <sheetViews>
    <sheetView tabSelected="1" zoomScale="69" zoomScaleNormal="100" workbookViewId="0">
      <selection activeCell="I28" sqref="I28"/>
    </sheetView>
  </sheetViews>
  <sheetFormatPr defaultColWidth="8.77734375" defaultRowHeight="14.4" x14ac:dyDescent="0.3"/>
  <cols>
    <col min="1" max="1" width="41.44140625" customWidth="1"/>
    <col min="2" max="2" width="23.6640625" customWidth="1"/>
    <col min="3" max="3" width="25.77734375" customWidth="1"/>
    <col min="4" max="4" width="27.109375" customWidth="1"/>
    <col min="5" max="5" width="29.44140625" customWidth="1"/>
    <col min="6" max="6" width="29.33203125" customWidth="1"/>
    <col min="7" max="7" width="19.109375" customWidth="1"/>
    <col min="8" max="8" width="23.44140625" customWidth="1"/>
    <col min="9" max="9" width="35.44140625" customWidth="1"/>
    <col min="10" max="10" width="22.44140625" customWidth="1"/>
    <col min="11" max="11" width="17.44140625" customWidth="1"/>
    <col min="12" max="12" width="18.44140625" customWidth="1"/>
    <col min="13" max="13" width="16.109375" customWidth="1"/>
    <col min="14" max="14" width="19.44140625" customWidth="1"/>
  </cols>
  <sheetData>
    <row r="1" spans="1:9" x14ac:dyDescent="0.3">
      <c r="A1" s="4" t="s">
        <v>0</v>
      </c>
      <c r="B1" s="4" t="s">
        <v>20</v>
      </c>
      <c r="C1" s="4" t="s">
        <v>19</v>
      </c>
      <c r="D1" s="4" t="s">
        <v>18</v>
      </c>
      <c r="E1" s="4" t="s">
        <v>17</v>
      </c>
      <c r="F1" s="4" t="s">
        <v>21</v>
      </c>
      <c r="G1" s="4" t="s">
        <v>22</v>
      </c>
    </row>
    <row r="2" spans="1:9" x14ac:dyDescent="0.3">
      <c r="A2" s="4">
        <v>0</v>
      </c>
      <c r="B2" s="2">
        <f>$B$15*0.25*$B$14*A2</f>
        <v>0</v>
      </c>
      <c r="C2" s="2">
        <f>($B$16*$B$14*0.25*A2)+$B$18</f>
        <v>69300</v>
      </c>
      <c r="D2" s="2">
        <f>$B$22+($B$14*$B$19*0.25*A2)</f>
        <v>144400</v>
      </c>
      <c r="E2" s="3">
        <f>0.25*A2*$B$14*$B$15</f>
        <v>0</v>
      </c>
      <c r="F2" s="3">
        <f>0.25*A2*$B$14*$B$16</f>
        <v>0</v>
      </c>
      <c r="G2" s="3">
        <f>0.25*A2*$B$14*$B$19</f>
        <v>0</v>
      </c>
    </row>
    <row r="3" spans="1:9" x14ac:dyDescent="0.3">
      <c r="A3" s="4">
        <v>1</v>
      </c>
      <c r="B3" s="2">
        <f t="shared" ref="B3:B12" si="0">$B$15*0.25*$B$14*A3</f>
        <v>14556.3</v>
      </c>
      <c r="C3" s="2">
        <f>($B$16*$B$14*0.25*A3)+$B$18</f>
        <v>74326.065000000002</v>
      </c>
      <c r="D3" s="2">
        <f t="shared" ref="D3:D12" si="1">$B$22+($B$14*$B$19*0.25*A3)</f>
        <v>151818.73000000001</v>
      </c>
      <c r="E3" s="3">
        <f t="shared" ref="E3:E12" si="2">0.25*A3*$B$14*$B$15</f>
        <v>14556.3</v>
      </c>
      <c r="F3" s="3">
        <f t="shared" ref="F3:F12" si="3">0.25*A3*$B$14*$B$16</f>
        <v>5026.0649999999996</v>
      </c>
      <c r="G3" s="3">
        <f t="shared" ref="G3:G12" si="4">0.25*A3*$B$14*$B$19</f>
        <v>7418.73</v>
      </c>
    </row>
    <row r="4" spans="1:9" x14ac:dyDescent="0.3">
      <c r="A4" s="4">
        <v>2</v>
      </c>
      <c r="B4" s="2">
        <f t="shared" si="0"/>
        <v>29112.6</v>
      </c>
      <c r="C4" s="2">
        <f t="shared" ref="C4:C12" si="5">($B$16*$B$14*0.25*A4)+$B$18</f>
        <v>79352.13</v>
      </c>
      <c r="D4" s="2">
        <f t="shared" si="1"/>
        <v>159237.46</v>
      </c>
      <c r="E4" s="3">
        <f t="shared" si="2"/>
        <v>29112.6</v>
      </c>
      <c r="F4" s="3">
        <f t="shared" si="3"/>
        <v>10052.129999999999</v>
      </c>
      <c r="G4" s="3">
        <f t="shared" si="4"/>
        <v>14837.46</v>
      </c>
    </row>
    <row r="5" spans="1:9" x14ac:dyDescent="0.3">
      <c r="A5" s="4">
        <v>3</v>
      </c>
      <c r="B5" s="2">
        <f t="shared" si="0"/>
        <v>43668.899999999994</v>
      </c>
      <c r="C5" s="2">
        <f t="shared" si="5"/>
        <v>84378.195000000007</v>
      </c>
      <c r="D5" s="2">
        <f t="shared" si="1"/>
        <v>166656.19</v>
      </c>
      <c r="E5" s="3">
        <f t="shared" si="2"/>
        <v>43668.899999999994</v>
      </c>
      <c r="F5" s="3">
        <f t="shared" si="3"/>
        <v>15078.195</v>
      </c>
      <c r="G5" s="3">
        <f t="shared" si="4"/>
        <v>22256.19</v>
      </c>
    </row>
    <row r="6" spans="1:9" x14ac:dyDescent="0.3">
      <c r="A6" s="4">
        <v>4</v>
      </c>
      <c r="B6" s="2">
        <f t="shared" si="0"/>
        <v>58225.2</v>
      </c>
      <c r="C6" s="2">
        <f t="shared" si="5"/>
        <v>89404.26</v>
      </c>
      <c r="D6" s="2">
        <f t="shared" si="1"/>
        <v>174074.91999999998</v>
      </c>
      <c r="E6" s="3">
        <f t="shared" si="2"/>
        <v>58225.2</v>
      </c>
      <c r="F6" s="3">
        <f t="shared" si="3"/>
        <v>20104.259999999998</v>
      </c>
      <c r="G6" s="3">
        <f t="shared" si="4"/>
        <v>29674.92</v>
      </c>
    </row>
    <row r="7" spans="1:9" x14ac:dyDescent="0.3">
      <c r="A7" s="4">
        <v>5</v>
      </c>
      <c r="B7" s="2">
        <f t="shared" si="0"/>
        <v>72781.5</v>
      </c>
      <c r="C7" s="2">
        <f t="shared" si="5"/>
        <v>94430.324999999997</v>
      </c>
      <c r="D7" s="2">
        <f t="shared" si="1"/>
        <v>181493.65</v>
      </c>
      <c r="E7" s="3">
        <f t="shared" si="2"/>
        <v>72781.5</v>
      </c>
      <c r="F7" s="3">
        <f t="shared" si="3"/>
        <v>25130.325000000001</v>
      </c>
      <c r="G7" s="3">
        <f t="shared" si="4"/>
        <v>37093.65</v>
      </c>
    </row>
    <row r="8" spans="1:9" x14ac:dyDescent="0.3">
      <c r="A8" s="4">
        <v>6</v>
      </c>
      <c r="B8" s="2">
        <f t="shared" si="0"/>
        <v>87337.799999999988</v>
      </c>
      <c r="C8" s="2">
        <f t="shared" si="5"/>
        <v>99456.39</v>
      </c>
      <c r="D8" s="2">
        <f t="shared" si="1"/>
        <v>188912.38</v>
      </c>
      <c r="E8" s="3">
        <f t="shared" si="2"/>
        <v>87337.799999999988</v>
      </c>
      <c r="F8" s="3">
        <f t="shared" si="3"/>
        <v>30156.39</v>
      </c>
      <c r="G8" s="3">
        <f t="shared" si="4"/>
        <v>44512.38</v>
      </c>
    </row>
    <row r="9" spans="1:9" x14ac:dyDescent="0.3">
      <c r="A9" s="4">
        <v>7</v>
      </c>
      <c r="B9" s="2">
        <f t="shared" si="0"/>
        <v>101894.09999999999</v>
      </c>
      <c r="C9" s="2">
        <f t="shared" si="5"/>
        <v>104482.45499999999</v>
      </c>
      <c r="D9" s="2">
        <f t="shared" si="1"/>
        <v>196331.11</v>
      </c>
      <c r="E9" s="3">
        <f t="shared" si="2"/>
        <v>101894.09999999999</v>
      </c>
      <c r="F9" s="3">
        <f t="shared" si="3"/>
        <v>35182.455000000002</v>
      </c>
      <c r="G9" s="3">
        <f t="shared" si="4"/>
        <v>51931.11</v>
      </c>
    </row>
    <row r="10" spans="1:9" x14ac:dyDescent="0.3">
      <c r="A10" s="4">
        <v>8</v>
      </c>
      <c r="B10" s="2">
        <f t="shared" si="0"/>
        <v>116450.4</v>
      </c>
      <c r="C10" s="2">
        <f t="shared" si="5"/>
        <v>109508.51999999999</v>
      </c>
      <c r="D10" s="2">
        <f t="shared" si="1"/>
        <v>203749.84</v>
      </c>
      <c r="E10" s="3">
        <f t="shared" si="2"/>
        <v>116450.4</v>
      </c>
      <c r="F10" s="3">
        <f t="shared" si="3"/>
        <v>40208.519999999997</v>
      </c>
      <c r="G10" s="3">
        <f t="shared" si="4"/>
        <v>59349.84</v>
      </c>
    </row>
    <row r="11" spans="1:9" x14ac:dyDescent="0.3">
      <c r="A11" s="4">
        <v>9</v>
      </c>
      <c r="B11" s="2">
        <f t="shared" si="0"/>
        <v>131006.7</v>
      </c>
      <c r="C11" s="2">
        <f t="shared" si="5"/>
        <v>114534.58499999999</v>
      </c>
      <c r="D11" s="2">
        <f t="shared" si="1"/>
        <v>211168.57</v>
      </c>
      <c r="E11" s="3">
        <f t="shared" si="2"/>
        <v>131006.69999999998</v>
      </c>
      <c r="F11" s="3">
        <f t="shared" si="3"/>
        <v>45234.584999999999</v>
      </c>
      <c r="G11" s="3">
        <f t="shared" si="4"/>
        <v>66768.569999999992</v>
      </c>
    </row>
    <row r="12" spans="1:9" x14ac:dyDescent="0.3">
      <c r="A12" s="4">
        <v>10</v>
      </c>
      <c r="B12" s="2">
        <f t="shared" si="0"/>
        <v>145563</v>
      </c>
      <c r="C12" s="2">
        <f t="shared" si="5"/>
        <v>119560.65</v>
      </c>
      <c r="D12" s="2">
        <f t="shared" si="1"/>
        <v>218587.3</v>
      </c>
      <c r="E12" s="3">
        <f t="shared" si="2"/>
        <v>145563</v>
      </c>
      <c r="F12" s="3">
        <f t="shared" si="3"/>
        <v>50260.65</v>
      </c>
      <c r="G12" s="3">
        <f t="shared" si="4"/>
        <v>74187.3</v>
      </c>
    </row>
    <row r="14" spans="1:9" x14ac:dyDescent="0.3">
      <c r="A14" s="4" t="s">
        <v>1</v>
      </c>
      <c r="B14" s="1">
        <f>12*5.5*50</f>
        <v>3300</v>
      </c>
      <c r="D14" s="4"/>
      <c r="E14" s="4" t="s">
        <v>3</v>
      </c>
      <c r="F14" s="4" t="s">
        <v>4</v>
      </c>
      <c r="G14" s="4" t="s">
        <v>5</v>
      </c>
      <c r="H14" s="4" t="s">
        <v>6</v>
      </c>
      <c r="I14" s="4" t="s">
        <v>7</v>
      </c>
    </row>
    <row r="15" spans="1:9" x14ac:dyDescent="0.3">
      <c r="A15" s="4" t="s">
        <v>12</v>
      </c>
      <c r="B15" s="1">
        <f>SUM(E15:H15)/1000</f>
        <v>17.643999999999998</v>
      </c>
      <c r="D15" s="4" t="s">
        <v>23</v>
      </c>
      <c r="E15" s="1">
        <v>5940</v>
      </c>
      <c r="F15" s="1">
        <v>5852</v>
      </c>
      <c r="G15" s="1"/>
      <c r="H15" s="1">
        <v>5852</v>
      </c>
      <c r="I15" s="1">
        <v>0</v>
      </c>
    </row>
    <row r="16" spans="1:9" x14ac:dyDescent="0.3">
      <c r="A16" s="4" t="s">
        <v>11</v>
      </c>
      <c r="B16" s="1">
        <f>SUM(E18:H18)/1000</f>
        <v>6.0922000000000001</v>
      </c>
      <c r="D16" s="4" t="s">
        <v>24</v>
      </c>
      <c r="E16" s="1">
        <v>1100.7</v>
      </c>
      <c r="F16" s="1">
        <v>2905</v>
      </c>
      <c r="G16" s="1"/>
      <c r="H16" s="1">
        <v>2203.8000000000002</v>
      </c>
      <c r="I16" s="1">
        <v>2782.9</v>
      </c>
    </row>
    <row r="17" spans="1:9" x14ac:dyDescent="0.3">
      <c r="A17" s="4" t="s">
        <v>10</v>
      </c>
      <c r="B17" s="3">
        <f>SUM(E19:H19)</f>
        <v>231</v>
      </c>
      <c r="D17" s="4" t="s">
        <v>25</v>
      </c>
      <c r="E17" s="1">
        <v>30</v>
      </c>
      <c r="F17" s="1">
        <v>45</v>
      </c>
      <c r="G17" s="1"/>
      <c r="H17" s="1">
        <v>42.3</v>
      </c>
      <c r="I17" s="1">
        <v>51.3</v>
      </c>
    </row>
    <row r="18" spans="1:9" x14ac:dyDescent="0.3">
      <c r="A18" s="4" t="s">
        <v>14</v>
      </c>
      <c r="B18" s="2">
        <f>B17*300</f>
        <v>69300</v>
      </c>
      <c r="D18" s="4" t="s">
        <v>26</v>
      </c>
      <c r="E18" s="1">
        <f>E16-E17</f>
        <v>1070.7</v>
      </c>
      <c r="F18" s="1">
        <f>F16-F17</f>
        <v>2860</v>
      </c>
      <c r="G18" s="1">
        <f t="shared" ref="G18" si="6">G16-G17</f>
        <v>0</v>
      </c>
      <c r="H18" s="1">
        <f t="shared" ref="H18:I18" si="7">H16-H17</f>
        <v>2161.5</v>
      </c>
      <c r="I18" s="1">
        <f t="shared" si="7"/>
        <v>2731.6</v>
      </c>
    </row>
    <row r="19" spans="1:9" x14ac:dyDescent="0.3">
      <c r="A19" s="4" t="s">
        <v>13</v>
      </c>
      <c r="B19" s="1">
        <f>SUM(E16:I16)/1000</f>
        <v>8.9923999999999999</v>
      </c>
      <c r="D19" s="4" t="s">
        <v>8</v>
      </c>
      <c r="E19" s="1">
        <v>64</v>
      </c>
      <c r="F19" s="1">
        <v>86</v>
      </c>
      <c r="G19" s="1"/>
      <c r="H19" s="1">
        <v>81</v>
      </c>
      <c r="I19" s="1">
        <v>112</v>
      </c>
    </row>
    <row r="20" spans="1:9" x14ac:dyDescent="0.3">
      <c r="A20" s="4" t="s">
        <v>16</v>
      </c>
      <c r="B20" s="1">
        <f>SUM(E19:I19)</f>
        <v>343</v>
      </c>
      <c r="D20" s="4" t="s">
        <v>9</v>
      </c>
      <c r="E20" s="1">
        <v>30</v>
      </c>
      <c r="F20" s="1">
        <v>34</v>
      </c>
      <c r="G20" s="1"/>
      <c r="H20" s="1">
        <v>31</v>
      </c>
      <c r="I20" s="1">
        <v>71</v>
      </c>
    </row>
    <row r="21" spans="1:9" x14ac:dyDescent="0.3">
      <c r="A21" s="4" t="s">
        <v>15</v>
      </c>
      <c r="B21" s="1">
        <f>SUM(E20:I20)</f>
        <v>166</v>
      </c>
    </row>
    <row r="22" spans="1:9" x14ac:dyDescent="0.3">
      <c r="A22" s="4" t="s">
        <v>2</v>
      </c>
      <c r="B22" s="2">
        <f>(B20*300)+(B21*250)</f>
        <v>144400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Wei</dc:creator>
  <cp:lastModifiedBy>Mingze Sun</cp:lastModifiedBy>
  <dcterms:created xsi:type="dcterms:W3CDTF">2026-06-02T02:24:39Z</dcterms:created>
  <dcterms:modified xsi:type="dcterms:W3CDTF">2026-06-04T02:42:10Z</dcterms:modified>
</cp:coreProperties>
</file>